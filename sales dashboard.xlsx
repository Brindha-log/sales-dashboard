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C:\Users\BRINDHA LOGANATHAN\Desktop\"/>
    </mc:Choice>
  </mc:AlternateContent>
  <xr:revisionPtr revIDLastSave="0" documentId="13_ncr:1_{89AE2256-8F64-45D1-8F51-8FE97B727DB1}" xr6:coauthVersionLast="47" xr6:coauthVersionMax="47" xr10:uidLastSave="{00000000-0000-0000-0000-000000000000}"/>
  <bookViews>
    <workbookView xWindow="-110" yWindow="-110" windowWidth="19420" windowHeight="11500" xr2:uid="{C4EC1E95-82A4-45BE-BB7E-2F4692FCA987}"/>
  </bookViews>
  <sheets>
    <sheet name="Report" sheetId="4" r:id="rId1"/>
    <sheet name="sales vs orders" sheetId="5" r:id="rId2"/>
    <sheet name="men vs women" sheetId="6" r:id="rId3"/>
    <sheet name="status" sheetId="8" r:id="rId4"/>
    <sheet name="state" sheetId="9" r:id="rId5"/>
    <sheet name="age" sheetId="12" r:id="rId6"/>
    <sheet name="Sheet10" sheetId="13" r:id="rId7"/>
    <sheet name="Sheet1" sheetId="1" r:id="rId8"/>
  </sheets>
  <definedNames>
    <definedName name="Slicer_Category">#N/A</definedName>
    <definedName name="Slicer_Channel">#N/A</definedName>
    <definedName name="Slicer_Month">#N/A</definedName>
  </definedNames>
  <calcPr calcId="191029"/>
  <pivotCaches>
    <pivotCache cacheId="71"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 i="1" l="1"/>
  <c r="H9" i="1" s="1"/>
  <c r="G8" i="1"/>
  <c r="G5" i="1"/>
  <c r="G4" i="1"/>
  <c r="H4" i="1" s="1"/>
  <c r="G10" i="1"/>
  <c r="H10" i="1" s="1"/>
  <c r="H8" i="1"/>
  <c r="G6" i="1"/>
  <c r="H5" i="1"/>
  <c r="G3" i="1"/>
  <c r="H3" i="1"/>
  <c r="H6" i="1"/>
  <c r="H7" i="1"/>
  <c r="H2" i="1"/>
  <c r="O3" i="1"/>
  <c r="O4" i="1"/>
  <c r="O5" i="1"/>
  <c r="O6" i="1"/>
  <c r="O7" i="1"/>
  <c r="O8" i="1"/>
  <c r="O9" i="1"/>
  <c r="O10" i="1"/>
  <c r="O2" i="1"/>
  <c r="M3" i="1"/>
  <c r="M4" i="1"/>
  <c r="M5" i="1"/>
  <c r="M6" i="1"/>
  <c r="M7" i="1"/>
  <c r="M8" i="1"/>
  <c r="M9" i="1"/>
  <c r="M10" i="1"/>
  <c r="M2" i="1"/>
  <c r="G7" i="1"/>
  <c r="G2" i="1"/>
  <c r="E3" i="1"/>
  <c r="F3" i="1" s="1"/>
  <c r="E4" i="1"/>
  <c r="F4" i="1" s="1"/>
  <c r="E5" i="1"/>
  <c r="F5" i="1" s="1"/>
  <c r="E6" i="1"/>
  <c r="F6" i="1" s="1"/>
  <c r="E7" i="1"/>
  <c r="F7" i="1" s="1"/>
  <c r="E8" i="1"/>
  <c r="F8" i="1" s="1"/>
  <c r="E9" i="1"/>
  <c r="F9" i="1" s="1"/>
  <c r="E10" i="1"/>
  <c r="F10" i="1" s="1"/>
  <c r="E2" i="1"/>
  <c r="F2" i="1" s="1"/>
</calcChain>
</file>

<file path=xl/sharedStrings.xml><?xml version="1.0" encoding="utf-8"?>
<sst xmlns="http://schemas.openxmlformats.org/spreadsheetml/2006/main" count="137" uniqueCount="68">
  <si>
    <t>index</t>
  </si>
  <si>
    <t>Order ID</t>
  </si>
  <si>
    <t>Cust ID</t>
  </si>
  <si>
    <t>Gender</t>
  </si>
  <si>
    <t>Age</t>
  </si>
  <si>
    <t>Date</t>
  </si>
  <si>
    <t>Status</t>
  </si>
  <si>
    <t>Channel</t>
  </si>
  <si>
    <t>Category</t>
  </si>
  <si>
    <t>Size</t>
  </si>
  <si>
    <t>Qty</t>
  </si>
  <si>
    <t>currency</t>
  </si>
  <si>
    <t>Amount</t>
  </si>
  <si>
    <t>ship-city</t>
  </si>
  <si>
    <t>ship-state</t>
  </si>
  <si>
    <t>ship-postal-code</t>
  </si>
  <si>
    <t>ship-country</t>
  </si>
  <si>
    <t>171-1029312-3038738</t>
  </si>
  <si>
    <t>Delivered</t>
  </si>
  <si>
    <t>Myntra</t>
  </si>
  <si>
    <t>kurta</t>
  </si>
  <si>
    <t>XXL</t>
  </si>
  <si>
    <t>INR</t>
  </si>
  <si>
    <t>MOHALI</t>
  </si>
  <si>
    <t>PUNJAB</t>
  </si>
  <si>
    <t>IN</t>
  </si>
  <si>
    <t>405-2183842-2225946</t>
  </si>
  <si>
    <t>Ajio</t>
  </si>
  <si>
    <t>Set</t>
  </si>
  <si>
    <t>L</t>
  </si>
  <si>
    <t>GURUGRAM</t>
  </si>
  <si>
    <t>HARYANA</t>
  </si>
  <si>
    <t>171-1641533-8921966</t>
  </si>
  <si>
    <t>S</t>
  </si>
  <si>
    <t>KOLKATA</t>
  </si>
  <si>
    <t>WEST BENGAL</t>
  </si>
  <si>
    <t>404-7490807-6300351</t>
  </si>
  <si>
    <t>Amazon</t>
  </si>
  <si>
    <t>M</t>
  </si>
  <si>
    <t>THANJAVUR</t>
  </si>
  <si>
    <t>TAMIL NADU</t>
  </si>
  <si>
    <t>403-9293516-4577154</t>
  </si>
  <si>
    <t>407-1298130-0368305</t>
  </si>
  <si>
    <t>Flipkart</t>
  </si>
  <si>
    <t>Western Dress</t>
  </si>
  <si>
    <t>SANGLI MIRAJ KUPWAD</t>
  </si>
  <si>
    <t>MAHARASHTRA</t>
  </si>
  <si>
    <t>Meesho</t>
  </si>
  <si>
    <t>BENGALURU</t>
  </si>
  <si>
    <t>KARNATAKA</t>
  </si>
  <si>
    <t>171-5561216-3398711</t>
  </si>
  <si>
    <t>408-2935263-2935550</t>
  </si>
  <si>
    <t>XL</t>
  </si>
  <si>
    <t>Female</t>
  </si>
  <si>
    <t>Male</t>
  </si>
  <si>
    <t>Age Group</t>
  </si>
  <si>
    <t>Sum of Amount</t>
  </si>
  <si>
    <t>Count of Order ID</t>
  </si>
  <si>
    <t>Month</t>
  </si>
  <si>
    <t>Row Labels</t>
  </si>
  <si>
    <t>May</t>
  </si>
  <si>
    <t>Sales Report</t>
  </si>
  <si>
    <t>Refunded</t>
  </si>
  <si>
    <t>cancelled</t>
  </si>
  <si>
    <t>Returned</t>
  </si>
  <si>
    <t>Teenager</t>
  </si>
  <si>
    <t>Column Labels</t>
  </si>
  <si>
    <t>Adult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</si>
</sst>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1"/>
      <color theme="1"/>
      <name val="Calibri"/>
      <family val="2"/>
    </font>
    <font>
      <sz val="11"/>
      <color theme="2"/>
      <name val="Aptos Narrow"/>
      <family val="2"/>
      <scheme val="minor"/>
    </font>
    <font>
      <b/>
      <sz val="24"/>
      <color theme="2"/>
      <name val="Aptos Narrow"/>
      <family val="2"/>
      <scheme val="minor"/>
    </font>
  </fonts>
  <fills count="4">
    <fill>
      <patternFill patternType="none"/>
    </fill>
    <fill>
      <patternFill patternType="gray125"/>
    </fill>
    <fill>
      <patternFill patternType="solid">
        <fgColor theme="0" tint="-0.499984740745262"/>
        <bgColor indexed="64"/>
      </patternFill>
    </fill>
    <fill>
      <patternFill patternType="solid">
        <fgColor rgb="FFFF0000"/>
        <bgColor indexed="64"/>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11">
    <xf numFmtId="0" fontId="0" fillId="0" borderId="0" xfId="0"/>
    <xf numFmtId="0" fontId="1" fillId="0" borderId="1" xfId="0" applyFont="1" applyBorder="1" applyAlignment="1">
      <alignment wrapText="1"/>
    </xf>
    <xf numFmtId="0" fontId="1" fillId="0" borderId="1" xfId="0" applyFont="1" applyBorder="1" applyAlignment="1">
      <alignment horizontal="right" wrapText="1"/>
    </xf>
    <xf numFmtId="14" fontId="1" fillId="0" borderId="1" xfId="0" applyNumberFormat="1" applyFont="1" applyBorder="1" applyAlignment="1">
      <alignment horizontal="right" wrapText="1"/>
    </xf>
    <xf numFmtId="0" fontId="0" fillId="0" borderId="0" xfId="0" applyNumberFormat="1"/>
    <xf numFmtId="0" fontId="0" fillId="0" borderId="0" xfId="0" pivotButton="1"/>
    <xf numFmtId="0" fontId="0" fillId="0" borderId="0" xfId="0" applyAlignment="1">
      <alignment horizontal="left"/>
    </xf>
    <xf numFmtId="0" fontId="0" fillId="2" borderId="0" xfId="0" applyFill="1"/>
    <xf numFmtId="0" fontId="2" fillId="2" borderId="0" xfId="0" applyFont="1" applyFill="1"/>
    <xf numFmtId="0" fontId="3" fillId="3" borderId="0" xfId="0" applyFont="1" applyFill="1" applyAlignment="1">
      <alignment horizontal="center"/>
    </xf>
    <xf numFmtId="1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dashboard.xlsx]sales vs orders!PivotTable5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Orders</a:t>
            </a:r>
            <a:r>
              <a:rPr lang="en-IN" baseline="0"/>
              <a:t> vs Sales</a:t>
            </a:r>
          </a:p>
        </c:rich>
      </c:tx>
      <c:layout>
        <c:manualLayout>
          <c:xMode val="edge"/>
          <c:yMode val="edge"/>
          <c:x val="0.1007567804024497"/>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5705540618398315E-2"/>
          <c:y val="0.18560172552688339"/>
          <c:w val="0.80312860892388427"/>
          <c:h val="0.70736913094196563"/>
        </c:manualLayout>
      </c:layout>
      <c:barChart>
        <c:barDir val="col"/>
        <c:grouping val="clustered"/>
        <c:varyColors val="0"/>
        <c:ser>
          <c:idx val="0"/>
          <c:order val="0"/>
          <c:tx>
            <c:strRef>
              <c:f>'sales vs orders'!$B$3</c:f>
              <c:strCache>
                <c:ptCount val="1"/>
                <c:pt idx="0">
                  <c:v>Sum of Amount</c:v>
                </c:pt>
              </c:strCache>
            </c:strRef>
          </c:tx>
          <c:spPr>
            <a:solidFill>
              <a:schemeClr val="accent1"/>
            </a:solidFill>
            <a:ln>
              <a:noFill/>
            </a:ln>
            <a:effectLst/>
          </c:spPr>
          <c:invertIfNegative val="0"/>
          <c:cat>
            <c:strRef>
              <c:f>'sales vs orders'!$A$4</c:f>
              <c:strCache>
                <c:ptCount val="1"/>
                <c:pt idx="0">
                  <c:v>May</c:v>
                </c:pt>
              </c:strCache>
            </c:strRef>
          </c:cat>
          <c:val>
            <c:numRef>
              <c:f>'sales vs orders'!$B$4</c:f>
              <c:numCache>
                <c:formatCode>General</c:formatCode>
                <c:ptCount val="1"/>
                <c:pt idx="0">
                  <c:v>1070</c:v>
                </c:pt>
              </c:numCache>
            </c:numRef>
          </c:val>
          <c:extLst>
            <c:ext xmlns:c16="http://schemas.microsoft.com/office/drawing/2014/chart" uri="{C3380CC4-5D6E-409C-BE32-E72D297353CC}">
              <c16:uniqueId val="{0000000D-B6EF-4F1E-B241-44ABB7EAB43B}"/>
            </c:ext>
          </c:extLst>
        </c:ser>
        <c:ser>
          <c:idx val="1"/>
          <c:order val="1"/>
          <c:tx>
            <c:strRef>
              <c:f>'sales vs orders'!$C$3</c:f>
              <c:strCache>
                <c:ptCount val="1"/>
                <c:pt idx="0">
                  <c:v>Count of Order ID</c:v>
                </c:pt>
              </c:strCache>
            </c:strRef>
          </c:tx>
          <c:spPr>
            <a:solidFill>
              <a:schemeClr val="accent2"/>
            </a:solidFill>
            <a:ln w="25400">
              <a:noFill/>
            </a:ln>
            <a:effectLst/>
          </c:spPr>
          <c:invertIfNegative val="0"/>
          <c:cat>
            <c:strRef>
              <c:f>'sales vs orders'!$A$4</c:f>
              <c:strCache>
                <c:ptCount val="1"/>
                <c:pt idx="0">
                  <c:v>May</c:v>
                </c:pt>
              </c:strCache>
            </c:strRef>
          </c:cat>
          <c:val>
            <c:numRef>
              <c:f>'sales vs orders'!$C$4</c:f>
              <c:numCache>
                <c:formatCode>General</c:formatCode>
                <c:ptCount val="1"/>
                <c:pt idx="0">
                  <c:v>1</c:v>
                </c:pt>
              </c:numCache>
            </c:numRef>
          </c:val>
          <c:extLst>
            <c:ext xmlns:c16="http://schemas.microsoft.com/office/drawing/2014/chart" uri="{C3380CC4-5D6E-409C-BE32-E72D297353CC}">
              <c16:uniqueId val="{0000000E-B6EF-4F1E-B241-44ABB7EAB43B}"/>
            </c:ext>
          </c:extLst>
        </c:ser>
        <c:dLbls>
          <c:showLegendKey val="0"/>
          <c:showVal val="0"/>
          <c:showCatName val="0"/>
          <c:showSerName val="0"/>
          <c:showPercent val="0"/>
          <c:showBubbleSize val="0"/>
        </c:dLbls>
        <c:gapWidth val="219"/>
        <c:overlap val="-27"/>
        <c:axId val="1341543312"/>
        <c:axId val="1341542352"/>
      </c:barChart>
      <c:catAx>
        <c:axId val="1341543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1542352"/>
        <c:crosses val="autoZero"/>
        <c:auto val="1"/>
        <c:lblAlgn val="ctr"/>
        <c:lblOffset val="100"/>
        <c:noMultiLvlLbl val="0"/>
      </c:catAx>
      <c:valAx>
        <c:axId val="13415423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1543312"/>
        <c:crosses val="autoZero"/>
        <c:crossBetween val="between"/>
      </c:valAx>
      <c:spPr>
        <a:noFill/>
        <a:ln>
          <a:noFill/>
        </a:ln>
        <a:effectLst/>
      </c:spPr>
    </c:plotArea>
    <c:legend>
      <c:legendPos val="r"/>
      <c:layout>
        <c:manualLayout>
          <c:xMode val="edge"/>
          <c:yMode val="edge"/>
          <c:x val="0.39845713035870511"/>
          <c:y val="3.7823344998541841E-2"/>
          <c:w val="0.24341336239334616"/>
          <c:h val="0.1565643707462182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dashboard.xlsx]men vs women!PivotTable6</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 Men vs Women</a:t>
            </a:r>
          </a:p>
        </c:rich>
      </c:tx>
      <c:layout>
        <c:manualLayout>
          <c:xMode val="edge"/>
          <c:yMode val="edge"/>
          <c:x val="0.26538188976377952"/>
          <c:y val="4.1666666666666664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
        <c:dLbl>
          <c:idx val="0"/>
          <c:layout>
            <c:manualLayout>
              <c:x val="0.25100484287821523"/>
              <c:y val="-3.6514976171821693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2"/>
        <c:dLbl>
          <c:idx val="0"/>
          <c:layout>
            <c:manualLayout>
              <c:x val="-0.26773849907009623"/>
              <c:y val="-9.1287440429554962E-3"/>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3"/>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4"/>
        <c:dLbl>
          <c:idx val="0"/>
          <c:layout>
            <c:manualLayout>
              <c:x val="-0.26773849907009623"/>
              <c:y val="-9.1287440429554962E-3"/>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5"/>
        <c:dLbl>
          <c:idx val="0"/>
          <c:layout>
            <c:manualLayout>
              <c:x val="0.25100484287821523"/>
              <c:y val="-3.6514976171821693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7"/>
        <c:spPr>
          <a:solidFill>
            <a:schemeClr val="accent1"/>
          </a:solidFill>
          <a:ln>
            <a:noFill/>
          </a:ln>
          <a:effectLst>
            <a:outerShdw blurRad="254000" sx="102000" sy="102000" algn="ctr" rotWithShape="0">
              <a:prstClr val="black">
                <a:alpha val="20000"/>
              </a:prstClr>
            </a:outerShdw>
          </a:effectLst>
          <a:sp3d/>
        </c:spPr>
      </c:pivotFmt>
      <c:pivotFmt>
        <c:idx val="8"/>
        <c:spPr>
          <a:solidFill>
            <a:schemeClr val="accent2"/>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'men vs women'!$B$3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850B-493E-8EC1-DF85D8ED66EE}"/>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850B-493E-8EC1-DF85D8ED66EE}"/>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'men vs women'!$A$4:$A$5</c:f>
              <c:strCache>
                <c:ptCount val="2"/>
                <c:pt idx="0">
                  <c:v>Female</c:v>
                </c:pt>
                <c:pt idx="1">
                  <c:v>Male</c:v>
                </c:pt>
              </c:strCache>
            </c:strRef>
          </c:cat>
          <c:val>
            <c:numRef>
              <c:f>'men vs women'!$B$4:$B$5</c:f>
              <c:numCache>
                <c:formatCode>General</c:formatCode>
                <c:ptCount val="2"/>
                <c:pt idx="0">
                  <c:v>1221</c:v>
                </c:pt>
                <c:pt idx="1">
                  <c:v>1070</c:v>
                </c:pt>
              </c:numCache>
            </c:numRef>
          </c:val>
          <c:extLst>
            <c:ext xmlns:c16="http://schemas.microsoft.com/office/drawing/2014/chart" uri="{C3380CC4-5D6E-409C-BE32-E72D297353CC}">
              <c16:uniqueId val="{00000004-850B-493E-8EC1-DF85D8ED66EE}"/>
            </c:ext>
          </c:extLst>
        </c:ser>
        <c:dLbls>
          <c:dLblPos val="ctr"/>
          <c:showLegendKey val="0"/>
          <c:showVal val="0"/>
          <c:showCatName val="1"/>
          <c:showSerName val="0"/>
          <c:showPercent val="0"/>
          <c:showBubbleSize val="0"/>
          <c:showLeaderLines val="0"/>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dashboard.xlsx]status!PivotTable7</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200"/>
              <a:t>Order Status</a:t>
            </a:r>
          </a:p>
        </c:rich>
      </c:tx>
      <c:layout>
        <c:manualLayout>
          <c:xMode val="edge"/>
          <c:yMode val="edge"/>
          <c:x val="1.4112809712742017E-2"/>
          <c:y val="4.6296055485566326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
        <c:dLbl>
          <c:idx val="0"/>
          <c:layout>
            <c:manualLayout>
              <c:x val="6.6666666666666569E-2"/>
              <c:y val="-1.3888888888888931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2"/>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3"/>
        <c:dLbl>
          <c:idx val="0"/>
          <c:layout>
            <c:manualLayout>
              <c:x val="6.6666666666666569E-2"/>
              <c:y val="-1.3888888888888931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4"/>
      </c:pivotFmt>
      <c:pivotFmt>
        <c:idx val="5"/>
      </c:pivotFmt>
      <c:pivotFmt>
        <c:idx val="6"/>
      </c:pivotFmt>
      <c:pivotFmt>
        <c:idx val="7"/>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8"/>
      </c:pivotFmt>
      <c:pivotFmt>
        <c:idx val="9"/>
        <c:dLbl>
          <c:idx val="0"/>
          <c:layout>
            <c:manualLayout>
              <c:x val="0.10825921538394039"/>
              <c:y val="-5.2847359556581527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0"/>
        <c:dLbl>
          <c:idx val="0"/>
          <c:layout>
            <c:manualLayout>
              <c:x val="-9.5522837103476956E-3"/>
              <c:y val="0.19817759833718071"/>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1"/>
        <c:dLbl>
          <c:idx val="0"/>
          <c:layout>
            <c:manualLayout>
              <c:x val="-0.15283653936556291"/>
              <c:y val="0.19817759833718068"/>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0.17905175078977129"/>
          <c:w val="0.96179086515860923"/>
          <c:h val="0.82094836043147579"/>
        </c:manualLayout>
      </c:layout>
      <c:pie3DChart>
        <c:varyColors val="1"/>
        <c:ser>
          <c:idx val="0"/>
          <c:order val="0"/>
          <c:tx>
            <c:strRef>
              <c:f>status!$B$3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B038-4869-883C-5CB185D14443}"/>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B038-4869-883C-5CB185D14443}"/>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B038-4869-883C-5CB185D14443}"/>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B038-4869-883C-5CB185D14443}"/>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status!$A$4</c:f>
              <c:strCache>
                <c:ptCount val="1"/>
                <c:pt idx="0">
                  <c:v>Delivered</c:v>
                </c:pt>
              </c:strCache>
            </c:strRef>
          </c:cat>
          <c:val>
            <c:numRef>
              <c:f>status!$B$4</c:f>
              <c:numCache>
                <c:formatCode>General</c:formatCode>
                <c:ptCount val="1"/>
                <c:pt idx="0">
                  <c:v>3</c:v>
                </c:pt>
              </c:numCache>
            </c:numRef>
          </c:val>
          <c:extLst>
            <c:ext xmlns:c16="http://schemas.microsoft.com/office/drawing/2014/chart" uri="{C3380CC4-5D6E-409C-BE32-E72D297353CC}">
              <c16:uniqueId val="{00000008-B038-4869-883C-5CB185D14443}"/>
            </c:ext>
          </c:extLst>
        </c:ser>
        <c:dLbls>
          <c:showLegendKey val="0"/>
          <c:showVal val="0"/>
          <c:showCatName val="0"/>
          <c:showSerName val="0"/>
          <c:showPercent val="0"/>
          <c:showBubbleSize val="0"/>
          <c:showLeaderLines val="0"/>
        </c:dLbls>
      </c:pie3DChart>
      <c:spPr>
        <a:noFill/>
        <a:ln>
          <a:noFill/>
        </a:ln>
        <a:effectLst/>
      </c:spPr>
    </c:plotArea>
    <c:legend>
      <c:legendPos val="r"/>
      <c:layout>
        <c:manualLayout>
          <c:xMode val="edge"/>
          <c:yMode val="edge"/>
          <c:x val="0.33834230096237977"/>
          <c:y val="3.8401501895596379E-2"/>
          <c:w val="0.63523163034417052"/>
          <c:h val="0.13194663167104109"/>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dashboard.xlsx]state!PivotTable8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Sates vs Amt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state!$B$3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state!$A$4:$A$6</c:f>
              <c:strCache>
                <c:ptCount val="3"/>
                <c:pt idx="0">
                  <c:v>HARYANA</c:v>
                </c:pt>
                <c:pt idx="1">
                  <c:v>MAHARASHTRA</c:v>
                </c:pt>
                <c:pt idx="2">
                  <c:v>PUNJAB</c:v>
                </c:pt>
              </c:strCache>
            </c:strRef>
          </c:cat>
          <c:val>
            <c:numRef>
              <c:f>state!$B$4:$B$6</c:f>
              <c:numCache>
                <c:formatCode>General</c:formatCode>
                <c:ptCount val="3"/>
                <c:pt idx="0">
                  <c:v>589</c:v>
                </c:pt>
                <c:pt idx="1">
                  <c:v>1070</c:v>
                </c:pt>
                <c:pt idx="2">
                  <c:v>632</c:v>
                </c:pt>
              </c:numCache>
            </c:numRef>
          </c:val>
          <c:extLst>
            <c:ext xmlns:c16="http://schemas.microsoft.com/office/drawing/2014/chart" uri="{C3380CC4-5D6E-409C-BE32-E72D297353CC}">
              <c16:uniqueId val="{00000000-A6D7-4D54-B868-64C5065842AE}"/>
            </c:ext>
          </c:extLst>
        </c:ser>
        <c:dLbls>
          <c:dLblPos val="outEnd"/>
          <c:showLegendKey val="0"/>
          <c:showVal val="1"/>
          <c:showCatName val="0"/>
          <c:showSerName val="0"/>
          <c:showPercent val="0"/>
          <c:showBubbleSize val="0"/>
        </c:dLbls>
        <c:gapWidth val="182"/>
        <c:axId val="1340860400"/>
        <c:axId val="1340859920"/>
      </c:barChart>
      <c:catAx>
        <c:axId val="13408604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0859920"/>
        <c:crosses val="autoZero"/>
        <c:auto val="1"/>
        <c:lblAlgn val="ctr"/>
        <c:lblOffset val="100"/>
        <c:noMultiLvlLbl val="0"/>
      </c:catAx>
      <c:valAx>
        <c:axId val="13408599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0860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dashboard.xlsx]age!PivotTable9</c:name>
    <c:fmtId val="3"/>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IN" sz="1200"/>
              <a:t>Order:</a:t>
            </a:r>
            <a:r>
              <a:rPr lang="en-IN" sz="1200" baseline="0"/>
              <a:t> age vs gender</a:t>
            </a:r>
            <a:endParaRPr lang="en-IN" sz="1200"/>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age!$B$3:$B$4</c:f>
              <c:strCache>
                <c:ptCount val="1"/>
                <c:pt idx="0">
                  <c:v>Female</c:v>
                </c:pt>
              </c:strCache>
            </c:strRef>
          </c:tx>
          <c:spPr>
            <a:solidFill>
              <a:schemeClr val="accent1"/>
            </a:solidFill>
            <a:ln>
              <a:noFill/>
            </a:ln>
            <a:effectLst/>
          </c:spPr>
          <c:invertIfNegative val="0"/>
          <c:cat>
            <c:strRef>
              <c:f>age!$A$5:$A$6</c:f>
              <c:strCache>
                <c:ptCount val="2"/>
                <c:pt idx="0">
                  <c:v>Adult</c:v>
                </c:pt>
                <c:pt idx="1">
                  <c:v>Teenager</c:v>
                </c:pt>
              </c:strCache>
            </c:strRef>
          </c:cat>
          <c:val>
            <c:numRef>
              <c:f>age!$B$5:$B$6</c:f>
              <c:numCache>
                <c:formatCode>General</c:formatCode>
                <c:ptCount val="2"/>
                <c:pt idx="0">
                  <c:v>1</c:v>
                </c:pt>
                <c:pt idx="1">
                  <c:v>1</c:v>
                </c:pt>
              </c:numCache>
            </c:numRef>
          </c:val>
          <c:extLst>
            <c:ext xmlns:c16="http://schemas.microsoft.com/office/drawing/2014/chart" uri="{C3380CC4-5D6E-409C-BE32-E72D297353CC}">
              <c16:uniqueId val="{00000000-E4A9-4EEA-BF5F-FE409DDE5FCD}"/>
            </c:ext>
          </c:extLst>
        </c:ser>
        <c:ser>
          <c:idx val="1"/>
          <c:order val="1"/>
          <c:tx>
            <c:strRef>
              <c:f>age!$C$3:$C$4</c:f>
              <c:strCache>
                <c:ptCount val="1"/>
                <c:pt idx="0">
                  <c:v>Male</c:v>
                </c:pt>
              </c:strCache>
            </c:strRef>
          </c:tx>
          <c:spPr>
            <a:solidFill>
              <a:schemeClr val="accent2"/>
            </a:solidFill>
            <a:ln>
              <a:noFill/>
            </a:ln>
            <a:effectLst/>
          </c:spPr>
          <c:invertIfNegative val="0"/>
          <c:cat>
            <c:strRef>
              <c:f>age!$A$5:$A$6</c:f>
              <c:strCache>
                <c:ptCount val="2"/>
                <c:pt idx="0">
                  <c:v>Adult</c:v>
                </c:pt>
                <c:pt idx="1">
                  <c:v>Teenager</c:v>
                </c:pt>
              </c:strCache>
            </c:strRef>
          </c:cat>
          <c:val>
            <c:numRef>
              <c:f>age!$C$5:$C$6</c:f>
              <c:numCache>
                <c:formatCode>General</c:formatCode>
                <c:ptCount val="2"/>
                <c:pt idx="0">
                  <c:v>1</c:v>
                </c:pt>
              </c:numCache>
            </c:numRef>
          </c:val>
          <c:extLst>
            <c:ext xmlns:c16="http://schemas.microsoft.com/office/drawing/2014/chart" uri="{C3380CC4-5D6E-409C-BE32-E72D297353CC}">
              <c16:uniqueId val="{00000005-E4A9-4EEA-BF5F-FE409DDE5FCD}"/>
            </c:ext>
          </c:extLst>
        </c:ser>
        <c:dLbls>
          <c:showLegendKey val="0"/>
          <c:showVal val="0"/>
          <c:showCatName val="0"/>
          <c:showSerName val="0"/>
          <c:showPercent val="0"/>
          <c:showBubbleSize val="0"/>
        </c:dLbls>
        <c:gapWidth val="219"/>
        <c:overlap val="-27"/>
        <c:axId val="2021105408"/>
        <c:axId val="2021104448"/>
      </c:barChart>
      <c:catAx>
        <c:axId val="2021105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1104448"/>
        <c:crosses val="autoZero"/>
        <c:auto val="1"/>
        <c:lblAlgn val="ctr"/>
        <c:lblOffset val="100"/>
        <c:noMultiLvlLbl val="0"/>
      </c:catAx>
      <c:valAx>
        <c:axId val="20211044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1105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dashboard.xlsx]Sheet10!PivotTable10</c:name>
    <c:fmtId val="5"/>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pivotFmt>
      <c:pivotFmt>
        <c:idx val="5"/>
        <c:spPr>
          <a:solidFill>
            <a:schemeClr val="accent1"/>
          </a:solidFill>
          <a:ln>
            <a:noFill/>
          </a:ln>
          <a:effectLst>
            <a:outerShdw blurRad="254000" sx="102000" sy="102000" algn="ctr" rotWithShape="0">
              <a:prstClr val="black">
                <a:alpha val="20000"/>
              </a:prstClr>
            </a:outerShdw>
          </a:effectLst>
          <a:sp3d/>
        </c:spPr>
      </c:pivotFmt>
      <c:pivotFmt>
        <c:idx val="6"/>
        <c:spPr>
          <a:solidFill>
            <a:schemeClr val="accent1"/>
          </a:solidFill>
          <a:ln>
            <a:noFill/>
          </a:ln>
          <a:effectLst>
            <a:outerShdw blurRad="254000" sx="102000" sy="102000" algn="ctr" rotWithShape="0">
              <a:prstClr val="black">
                <a:alpha val="20000"/>
              </a:prstClr>
            </a:outerShdw>
          </a:effectLst>
          <a:sp3d/>
        </c:spPr>
      </c:pivotFmt>
      <c:pivotFmt>
        <c:idx val="7"/>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8"/>
        <c:spPr>
          <a:solidFill>
            <a:schemeClr val="accent1"/>
          </a:solidFill>
          <a:ln>
            <a:noFill/>
          </a:ln>
          <a:effectLst>
            <a:outerShdw blurRad="254000" sx="102000" sy="102000" algn="ctr" rotWithShape="0">
              <a:prstClr val="black">
                <a:alpha val="20000"/>
              </a:prstClr>
            </a:outerShdw>
          </a:effectLst>
          <a:sp3d/>
        </c:spPr>
      </c:pivotFmt>
      <c:pivotFmt>
        <c:idx val="9"/>
        <c:spPr>
          <a:solidFill>
            <a:schemeClr val="accent1"/>
          </a:solidFill>
          <a:ln>
            <a:noFill/>
          </a:ln>
          <a:effectLst>
            <a:outerShdw blurRad="254000" sx="102000" sy="102000" algn="ctr" rotWithShape="0">
              <a:prstClr val="black">
                <a:alpha val="20000"/>
              </a:prstClr>
            </a:outerShdw>
          </a:effectLst>
          <a:sp3d/>
        </c:spPr>
      </c:pivotFmt>
      <c:pivotFmt>
        <c:idx val="10"/>
        <c:spPr>
          <a:solidFill>
            <a:schemeClr val="accent1"/>
          </a:solidFill>
          <a:ln>
            <a:noFill/>
          </a:ln>
          <a:effectLst>
            <a:outerShdw blurRad="254000" sx="102000" sy="102000" algn="ctr" rotWithShape="0">
              <a:prstClr val="black">
                <a:alpha val="20000"/>
              </a:prstClr>
            </a:outerShdw>
          </a:effectLst>
          <a:sp3d/>
        </c:spPr>
      </c:pivotFmt>
      <c:pivotFmt>
        <c:idx val="11"/>
        <c:spPr>
          <a:solidFill>
            <a:schemeClr val="accent1"/>
          </a:solidFill>
          <a:ln>
            <a:noFill/>
          </a:ln>
          <a:effectLst>
            <a:outerShdw blurRad="254000" sx="102000" sy="102000" algn="ctr" rotWithShape="0">
              <a:prstClr val="black">
                <a:alpha val="20000"/>
              </a:prstClr>
            </a:outerShdw>
          </a:effectLst>
          <a:sp3d/>
        </c:spPr>
      </c:pivotFmt>
      <c:pivotFmt>
        <c:idx val="12"/>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Sheet10!$B$3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D192-41BC-A91A-DCE2B66373DA}"/>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D192-41BC-A91A-DCE2B66373DA}"/>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D192-41BC-A91A-DCE2B66373DA}"/>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D192-41BC-A91A-DCE2B66373DA}"/>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D192-41BC-A91A-DCE2B66373DA}"/>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Sheet10!$A$4:$A$5</c:f>
              <c:strCache>
                <c:ptCount val="2"/>
                <c:pt idx="0">
                  <c:v>Flipkart</c:v>
                </c:pt>
                <c:pt idx="1">
                  <c:v>Myntra</c:v>
                </c:pt>
              </c:strCache>
            </c:strRef>
          </c:cat>
          <c:val>
            <c:numRef>
              <c:f>Sheet10!$B$4:$B$5</c:f>
              <c:numCache>
                <c:formatCode>0.00%</c:formatCode>
                <c:ptCount val="2"/>
                <c:pt idx="0">
                  <c:v>0.33333333333333331</c:v>
                </c:pt>
                <c:pt idx="1">
                  <c:v>0.66666666666666663</c:v>
                </c:pt>
              </c:numCache>
            </c:numRef>
          </c:val>
          <c:extLst>
            <c:ext xmlns:c16="http://schemas.microsoft.com/office/drawing/2014/chart" uri="{C3380CC4-5D6E-409C-BE32-E72D297353CC}">
              <c16:uniqueId val="{0000000A-D192-41BC-A91A-DCE2B66373DA}"/>
            </c:ext>
          </c:extLst>
        </c:ser>
        <c:dLbls>
          <c:showLegendKey val="0"/>
          <c:showVal val="0"/>
          <c:showCatName val="0"/>
          <c:showSerName val="0"/>
          <c:showPercent val="0"/>
          <c:showBubbleSize val="0"/>
          <c:showLeaderLines val="0"/>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dashboard.xlsx]sales vs orders!PivotTable5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Orders</a:t>
            </a:r>
            <a:r>
              <a:rPr lang="en-IN" baseline="0"/>
              <a:t> vs Sales</a:t>
            </a:r>
          </a:p>
        </c:rich>
      </c:tx>
      <c:layout>
        <c:manualLayout>
          <c:xMode val="edge"/>
          <c:yMode val="edge"/>
          <c:x val="0.1007567804024497"/>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803149606299206E-2"/>
          <c:y val="0.18560185185185185"/>
          <c:w val="0.80312860892388427"/>
          <c:h val="0.70736913094196563"/>
        </c:manualLayout>
      </c:layout>
      <c:barChart>
        <c:barDir val="col"/>
        <c:grouping val="clustered"/>
        <c:varyColors val="0"/>
        <c:ser>
          <c:idx val="0"/>
          <c:order val="0"/>
          <c:tx>
            <c:strRef>
              <c:f>'sales vs orders'!$B$3</c:f>
              <c:strCache>
                <c:ptCount val="1"/>
                <c:pt idx="0">
                  <c:v>Sum of Amount</c:v>
                </c:pt>
              </c:strCache>
            </c:strRef>
          </c:tx>
          <c:spPr>
            <a:solidFill>
              <a:schemeClr val="accent1"/>
            </a:solidFill>
            <a:ln>
              <a:noFill/>
            </a:ln>
            <a:effectLst/>
          </c:spPr>
          <c:invertIfNegative val="0"/>
          <c:cat>
            <c:strRef>
              <c:f>'sales vs orders'!$A$4</c:f>
              <c:strCache>
                <c:ptCount val="1"/>
                <c:pt idx="0">
                  <c:v>May</c:v>
                </c:pt>
              </c:strCache>
            </c:strRef>
          </c:cat>
          <c:val>
            <c:numRef>
              <c:f>'sales vs orders'!$B$4</c:f>
              <c:numCache>
                <c:formatCode>General</c:formatCode>
                <c:ptCount val="1"/>
                <c:pt idx="0">
                  <c:v>1070</c:v>
                </c:pt>
              </c:numCache>
            </c:numRef>
          </c:val>
          <c:extLst>
            <c:ext xmlns:c16="http://schemas.microsoft.com/office/drawing/2014/chart" uri="{C3380CC4-5D6E-409C-BE32-E72D297353CC}">
              <c16:uniqueId val="{0000000D-9D8A-4976-B483-D649FFDEAE6E}"/>
            </c:ext>
          </c:extLst>
        </c:ser>
        <c:ser>
          <c:idx val="1"/>
          <c:order val="1"/>
          <c:tx>
            <c:strRef>
              <c:f>'sales vs orders'!$C$3</c:f>
              <c:strCache>
                <c:ptCount val="1"/>
                <c:pt idx="0">
                  <c:v>Count of Order ID</c:v>
                </c:pt>
              </c:strCache>
            </c:strRef>
          </c:tx>
          <c:spPr>
            <a:solidFill>
              <a:schemeClr val="accent2"/>
            </a:solidFill>
            <a:ln>
              <a:noFill/>
            </a:ln>
            <a:effectLst/>
          </c:spPr>
          <c:invertIfNegative val="0"/>
          <c:cat>
            <c:strRef>
              <c:f>'sales vs orders'!$A$4</c:f>
              <c:strCache>
                <c:ptCount val="1"/>
                <c:pt idx="0">
                  <c:v>May</c:v>
                </c:pt>
              </c:strCache>
            </c:strRef>
          </c:cat>
          <c:val>
            <c:numRef>
              <c:f>'sales vs orders'!$C$4</c:f>
              <c:numCache>
                <c:formatCode>General</c:formatCode>
                <c:ptCount val="1"/>
                <c:pt idx="0">
                  <c:v>1</c:v>
                </c:pt>
              </c:numCache>
            </c:numRef>
          </c:val>
          <c:extLst>
            <c:ext xmlns:c16="http://schemas.microsoft.com/office/drawing/2014/chart" uri="{C3380CC4-5D6E-409C-BE32-E72D297353CC}">
              <c16:uniqueId val="{0000000E-9D8A-4976-B483-D649FFDEAE6E}"/>
            </c:ext>
          </c:extLst>
        </c:ser>
        <c:dLbls>
          <c:showLegendKey val="0"/>
          <c:showVal val="0"/>
          <c:showCatName val="0"/>
          <c:showSerName val="0"/>
          <c:showPercent val="0"/>
          <c:showBubbleSize val="0"/>
        </c:dLbls>
        <c:gapWidth val="219"/>
        <c:overlap val="-27"/>
        <c:axId val="1341543312"/>
        <c:axId val="1341542352"/>
      </c:barChart>
      <c:catAx>
        <c:axId val="1341543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1542352"/>
        <c:crosses val="autoZero"/>
        <c:auto val="1"/>
        <c:lblAlgn val="ctr"/>
        <c:lblOffset val="100"/>
        <c:noMultiLvlLbl val="0"/>
      </c:catAx>
      <c:valAx>
        <c:axId val="13415423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1543312"/>
        <c:crosses val="autoZero"/>
        <c:crossBetween val="between"/>
      </c:valAx>
      <c:spPr>
        <a:noFill/>
        <a:ln>
          <a:noFill/>
        </a:ln>
        <a:effectLst/>
      </c:spPr>
    </c:plotArea>
    <c:legend>
      <c:legendPos val="r"/>
      <c:layout>
        <c:manualLayout>
          <c:xMode val="edge"/>
          <c:yMode val="edge"/>
          <c:x val="0.39845713035870511"/>
          <c:y val="3.7823344998541841E-2"/>
          <c:w val="0.58765398075240594"/>
          <c:h val="8.680664916885388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dashboard.xlsx]men vs women!PivotTable6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Men vs Women</a:t>
            </a:r>
          </a:p>
        </c:rich>
      </c:tx>
      <c:layout>
        <c:manualLayout>
          <c:xMode val="edge"/>
          <c:yMode val="edge"/>
          <c:x val="0.26538188976377952"/>
          <c:y val="4.16666666666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solidFill>
          <a:ln w="25400">
            <a:solidFill>
              <a:schemeClr val="lt1"/>
            </a:solidFill>
          </a:ln>
          <a:effectLst/>
          <a:sp3d contourW="25400">
            <a:contourClr>
              <a:schemeClr val="lt1"/>
            </a:contourClr>
          </a:sp3d>
        </c:spPr>
        <c:dLbl>
          <c:idx val="0"/>
          <c:layout>
            <c:manualLayout>
              <c:x val="0.25100484287821523"/>
              <c:y val="-3.651497617182169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25400">
            <a:solidFill>
              <a:schemeClr val="lt1"/>
            </a:solidFill>
          </a:ln>
          <a:effectLst/>
          <a:sp3d contourW="25400">
            <a:contourClr>
              <a:schemeClr val="lt1"/>
            </a:contourClr>
          </a:sp3d>
        </c:spPr>
        <c:dLbl>
          <c:idx val="0"/>
          <c:layout>
            <c:manualLayout>
              <c:x val="-0.26773849907009623"/>
              <c:y val="-9.1287440429554962E-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'men vs women'!$B$3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3-E0CB-4255-A131-FE63AAC28AF4}"/>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2-E0CB-4255-A131-FE63AAC28AF4}"/>
              </c:ext>
            </c:extLst>
          </c:dPt>
          <c:dLbls>
            <c:dLbl>
              <c:idx val="0"/>
              <c:layout>
                <c:manualLayout>
                  <c:x val="-0.26773849907009623"/>
                  <c:y val="-9.1287440429554962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0CB-4255-A131-FE63AAC28AF4}"/>
                </c:ext>
              </c:extLst>
            </c:dLbl>
            <c:dLbl>
              <c:idx val="1"/>
              <c:layout>
                <c:manualLayout>
                  <c:x val="0.25100484287821523"/>
                  <c:y val="-3.6514976171821693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E0CB-4255-A131-FE63AAC28AF4}"/>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'men vs women'!$A$4:$A$5</c:f>
              <c:strCache>
                <c:ptCount val="2"/>
                <c:pt idx="0">
                  <c:v>Female</c:v>
                </c:pt>
                <c:pt idx="1">
                  <c:v>Male</c:v>
                </c:pt>
              </c:strCache>
            </c:strRef>
          </c:cat>
          <c:val>
            <c:numRef>
              <c:f>'men vs women'!$B$4:$B$5</c:f>
              <c:numCache>
                <c:formatCode>General</c:formatCode>
                <c:ptCount val="2"/>
                <c:pt idx="0">
                  <c:v>1221</c:v>
                </c:pt>
                <c:pt idx="1">
                  <c:v>1070</c:v>
                </c:pt>
              </c:numCache>
            </c:numRef>
          </c:val>
          <c:extLst>
            <c:ext xmlns:c16="http://schemas.microsoft.com/office/drawing/2014/chart" uri="{C3380CC4-5D6E-409C-BE32-E72D297353CC}">
              <c16:uniqueId val="{00000000-E0CB-4255-A131-FE63AAC28AF4}"/>
            </c:ext>
          </c:extLst>
        </c:ser>
        <c:dLbls>
          <c:showLegendKey val="0"/>
          <c:showVal val="0"/>
          <c:showCatName val="0"/>
          <c:showSerName val="0"/>
          <c:showPercent val="0"/>
          <c:showBubbleSize val="0"/>
          <c:showLeaderLines val="0"/>
        </c:dLbls>
      </c:pie3DChart>
      <c:spPr>
        <a:noFill/>
        <a:ln>
          <a:noFill/>
        </a:ln>
        <a:effectLst/>
      </c:spPr>
    </c:plotArea>
    <c:legend>
      <c:legendPos val="r"/>
      <c:layout>
        <c:manualLayout>
          <c:xMode val="edge"/>
          <c:yMode val="edge"/>
          <c:x val="0.65117607174103243"/>
          <c:y val="4.2452974628171471E-2"/>
          <c:w val="0.29049059492563428"/>
          <c:h val="0.1053251676873723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dashboard.xlsx]status!PivotTable7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a:t>
            </a:r>
            <a:r>
              <a:rPr lang="en-US" baseline="0"/>
              <a:t> Status</a:t>
            </a:r>
          </a:p>
        </c:rich>
      </c:tx>
      <c:layout>
        <c:manualLayout>
          <c:xMode val="edge"/>
          <c:yMode val="edge"/>
          <c:x val="9.3715223097112874E-2"/>
          <c:y val="4.629629629629629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dLbl>
          <c:idx val="0"/>
          <c:layout>
            <c:manualLayout>
              <c:x val="6.6666666666666569E-2"/>
              <c:y val="-1.388888888888893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status!$B$3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3-08E7-432F-8B13-C1904F9C50B8}"/>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status!$A$4</c:f>
              <c:strCache>
                <c:ptCount val="1"/>
                <c:pt idx="0">
                  <c:v>Delivered</c:v>
                </c:pt>
              </c:strCache>
            </c:strRef>
          </c:cat>
          <c:val>
            <c:numRef>
              <c:f>status!$B$4</c:f>
              <c:numCache>
                <c:formatCode>General</c:formatCode>
                <c:ptCount val="1"/>
                <c:pt idx="0">
                  <c:v>3</c:v>
                </c:pt>
              </c:numCache>
            </c:numRef>
          </c:val>
          <c:extLst>
            <c:ext xmlns:c16="http://schemas.microsoft.com/office/drawing/2014/chart" uri="{C3380CC4-5D6E-409C-BE32-E72D297353CC}">
              <c16:uniqueId val="{00000000-08E7-432F-8B13-C1904F9C50B8}"/>
            </c:ext>
          </c:extLst>
        </c:ser>
        <c:dLbls>
          <c:showLegendKey val="0"/>
          <c:showVal val="0"/>
          <c:showCatName val="0"/>
          <c:showSerName val="0"/>
          <c:showPercent val="0"/>
          <c:showBubbleSize val="0"/>
          <c:showLeaderLines val="0"/>
        </c:dLbls>
      </c:pie3DChart>
      <c:spPr>
        <a:noFill/>
        <a:ln>
          <a:noFill/>
        </a:ln>
        <a:effectLst/>
      </c:spPr>
    </c:plotArea>
    <c:legend>
      <c:legendPos val="r"/>
      <c:layout>
        <c:manualLayout>
          <c:xMode val="edge"/>
          <c:yMode val="edge"/>
          <c:x val="0.33834230096237977"/>
          <c:y val="3.8401501895596379E-2"/>
          <c:w val="0.58110214348206479"/>
          <c:h val="0.1319466316710410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dashboard.xlsx]state!PivotTable8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Sates vs Amt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state!$B$3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state!$A$4:$A$6</c:f>
              <c:strCache>
                <c:ptCount val="3"/>
                <c:pt idx="0">
                  <c:v>HARYANA</c:v>
                </c:pt>
                <c:pt idx="1">
                  <c:v>MAHARASHTRA</c:v>
                </c:pt>
                <c:pt idx="2">
                  <c:v>PUNJAB</c:v>
                </c:pt>
              </c:strCache>
            </c:strRef>
          </c:cat>
          <c:val>
            <c:numRef>
              <c:f>state!$B$4:$B$6</c:f>
              <c:numCache>
                <c:formatCode>General</c:formatCode>
                <c:ptCount val="3"/>
                <c:pt idx="0">
                  <c:v>589</c:v>
                </c:pt>
                <c:pt idx="1">
                  <c:v>1070</c:v>
                </c:pt>
                <c:pt idx="2">
                  <c:v>632</c:v>
                </c:pt>
              </c:numCache>
            </c:numRef>
          </c:val>
          <c:extLst>
            <c:ext xmlns:c16="http://schemas.microsoft.com/office/drawing/2014/chart" uri="{C3380CC4-5D6E-409C-BE32-E72D297353CC}">
              <c16:uniqueId val="{00000000-278D-44C4-94D6-E379B7DEAA33}"/>
            </c:ext>
          </c:extLst>
        </c:ser>
        <c:dLbls>
          <c:dLblPos val="outEnd"/>
          <c:showLegendKey val="0"/>
          <c:showVal val="1"/>
          <c:showCatName val="0"/>
          <c:showSerName val="0"/>
          <c:showPercent val="0"/>
          <c:showBubbleSize val="0"/>
        </c:dLbls>
        <c:gapWidth val="182"/>
        <c:axId val="1340860400"/>
        <c:axId val="1340859920"/>
      </c:barChart>
      <c:catAx>
        <c:axId val="13408604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0859920"/>
        <c:crosses val="autoZero"/>
        <c:auto val="1"/>
        <c:lblAlgn val="ctr"/>
        <c:lblOffset val="100"/>
        <c:noMultiLvlLbl val="0"/>
      </c:catAx>
      <c:valAx>
        <c:axId val="13408599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0860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dashboard.xlsx]age!PivotTable9</c:name>
    <c:fmtId val="0"/>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IN" sz="1200"/>
              <a:t>Order:</a:t>
            </a:r>
            <a:r>
              <a:rPr lang="en-IN" sz="1200" baseline="0"/>
              <a:t> age vs gender</a:t>
            </a:r>
            <a:endParaRPr lang="en-IN" sz="1200"/>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age!$B$3:$B$4</c:f>
              <c:strCache>
                <c:ptCount val="1"/>
                <c:pt idx="0">
                  <c:v>Female</c:v>
                </c:pt>
              </c:strCache>
            </c:strRef>
          </c:tx>
          <c:spPr>
            <a:solidFill>
              <a:schemeClr val="accent1"/>
            </a:solidFill>
            <a:ln>
              <a:noFill/>
            </a:ln>
            <a:effectLst/>
          </c:spPr>
          <c:invertIfNegative val="0"/>
          <c:cat>
            <c:strRef>
              <c:f>age!$A$5:$A$6</c:f>
              <c:strCache>
                <c:ptCount val="2"/>
                <c:pt idx="0">
                  <c:v>Adult</c:v>
                </c:pt>
                <c:pt idx="1">
                  <c:v>Teenager</c:v>
                </c:pt>
              </c:strCache>
            </c:strRef>
          </c:cat>
          <c:val>
            <c:numRef>
              <c:f>age!$B$5:$B$6</c:f>
              <c:numCache>
                <c:formatCode>General</c:formatCode>
                <c:ptCount val="2"/>
                <c:pt idx="0">
                  <c:v>1</c:v>
                </c:pt>
                <c:pt idx="1">
                  <c:v>1</c:v>
                </c:pt>
              </c:numCache>
            </c:numRef>
          </c:val>
          <c:extLst>
            <c:ext xmlns:c16="http://schemas.microsoft.com/office/drawing/2014/chart" uri="{C3380CC4-5D6E-409C-BE32-E72D297353CC}">
              <c16:uniqueId val="{00000000-2731-4A52-A818-BCF41EB0900B}"/>
            </c:ext>
          </c:extLst>
        </c:ser>
        <c:ser>
          <c:idx val="1"/>
          <c:order val="1"/>
          <c:tx>
            <c:strRef>
              <c:f>age!$C$3:$C$4</c:f>
              <c:strCache>
                <c:ptCount val="1"/>
                <c:pt idx="0">
                  <c:v>Male</c:v>
                </c:pt>
              </c:strCache>
            </c:strRef>
          </c:tx>
          <c:spPr>
            <a:solidFill>
              <a:schemeClr val="accent2"/>
            </a:solidFill>
            <a:ln>
              <a:noFill/>
            </a:ln>
            <a:effectLst/>
          </c:spPr>
          <c:invertIfNegative val="0"/>
          <c:cat>
            <c:strRef>
              <c:f>age!$A$5:$A$6</c:f>
              <c:strCache>
                <c:ptCount val="2"/>
                <c:pt idx="0">
                  <c:v>Adult</c:v>
                </c:pt>
                <c:pt idx="1">
                  <c:v>Teenager</c:v>
                </c:pt>
              </c:strCache>
            </c:strRef>
          </c:cat>
          <c:val>
            <c:numRef>
              <c:f>age!$C$5:$C$6</c:f>
              <c:numCache>
                <c:formatCode>General</c:formatCode>
                <c:ptCount val="2"/>
                <c:pt idx="0">
                  <c:v>1</c:v>
                </c:pt>
              </c:numCache>
            </c:numRef>
          </c:val>
          <c:extLst>
            <c:ext xmlns:c16="http://schemas.microsoft.com/office/drawing/2014/chart" uri="{C3380CC4-5D6E-409C-BE32-E72D297353CC}">
              <c16:uniqueId val="{00000005-2731-4A52-A818-BCF41EB0900B}"/>
            </c:ext>
          </c:extLst>
        </c:ser>
        <c:dLbls>
          <c:showLegendKey val="0"/>
          <c:showVal val="0"/>
          <c:showCatName val="0"/>
          <c:showSerName val="0"/>
          <c:showPercent val="0"/>
          <c:showBubbleSize val="0"/>
        </c:dLbls>
        <c:gapWidth val="219"/>
        <c:overlap val="-27"/>
        <c:axId val="2021105408"/>
        <c:axId val="2021104448"/>
      </c:barChart>
      <c:catAx>
        <c:axId val="2021105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1104448"/>
        <c:crosses val="autoZero"/>
        <c:auto val="1"/>
        <c:lblAlgn val="ctr"/>
        <c:lblOffset val="100"/>
        <c:noMultiLvlLbl val="0"/>
      </c:catAx>
      <c:valAx>
        <c:axId val="20211044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1105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dashboard.xlsx]Sheet10!PivotTable10</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Sheet10!$B$3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dPt>
          <c:dPt>
            <c:idx val="1"/>
            <c:bubble3D val="0"/>
            <c:spPr>
              <a:solidFill>
                <a:schemeClr val="accent2"/>
              </a:solidFill>
              <a:ln>
                <a:noFill/>
              </a:ln>
              <a:effectLst>
                <a:outerShdw blurRad="254000" sx="102000" sy="102000" algn="ctr" rotWithShape="0">
                  <a:prstClr val="black">
                    <a:alpha val="20000"/>
                  </a:prstClr>
                </a:outerShdw>
              </a:effectLst>
              <a:sp3d/>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Sheet10!$A$4:$A$5</c:f>
              <c:strCache>
                <c:ptCount val="2"/>
                <c:pt idx="0">
                  <c:v>Flipkart</c:v>
                </c:pt>
                <c:pt idx="1">
                  <c:v>Myntra</c:v>
                </c:pt>
              </c:strCache>
            </c:strRef>
          </c:cat>
          <c:val>
            <c:numRef>
              <c:f>Sheet10!$B$4:$B$5</c:f>
              <c:numCache>
                <c:formatCode>0.00%</c:formatCode>
                <c:ptCount val="2"/>
                <c:pt idx="0">
                  <c:v>0.33333333333333331</c:v>
                </c:pt>
                <c:pt idx="1">
                  <c:v>0.66666666666666663</c:v>
                </c:pt>
              </c:numCache>
            </c:numRef>
          </c:val>
          <c:extLst>
            <c:ext xmlns:c16="http://schemas.microsoft.com/office/drawing/2014/chart" uri="{C3380CC4-5D6E-409C-BE32-E72D297353CC}">
              <c16:uniqueId val="{00000000-622D-42BC-92AA-7C7035F12FCB}"/>
            </c:ext>
          </c:extLst>
        </c:ser>
        <c:dLbls>
          <c:showLegendKey val="0"/>
          <c:showVal val="0"/>
          <c:showCatName val="0"/>
          <c:showSerName val="0"/>
          <c:showPercent val="0"/>
          <c:showBubbleSize val="0"/>
          <c:showLeaderLines val="0"/>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0</xdr:col>
      <xdr:colOff>247650</xdr:colOff>
      <xdr:row>2</xdr:row>
      <xdr:rowOff>113973</xdr:rowOff>
    </xdr:from>
    <xdr:to>
      <xdr:col>7</xdr:col>
      <xdr:colOff>16282</xdr:colOff>
      <xdr:row>17</xdr:row>
      <xdr:rowOff>130256</xdr:rowOff>
    </xdr:to>
    <xdr:graphicFrame macro="">
      <xdr:nvGraphicFramePr>
        <xdr:cNvPr id="4" name="Chart 3">
          <a:extLst>
            <a:ext uri="{FF2B5EF4-FFF2-40B4-BE49-F238E27FC236}">
              <a16:creationId xmlns:a16="http://schemas.microsoft.com/office/drawing/2014/main" id="{440001FD-FCCB-408E-B654-5A3EA796AA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171635</xdr:colOff>
      <xdr:row>2</xdr:row>
      <xdr:rowOff>116593</xdr:rowOff>
    </xdr:from>
    <xdr:to>
      <xdr:col>15</xdr:col>
      <xdr:colOff>113974</xdr:colOff>
      <xdr:row>17</xdr:row>
      <xdr:rowOff>97692</xdr:rowOff>
    </xdr:to>
    <xdr:graphicFrame macro="">
      <xdr:nvGraphicFramePr>
        <xdr:cNvPr id="5" name="Chart 4">
          <a:extLst>
            <a:ext uri="{FF2B5EF4-FFF2-40B4-BE49-F238E27FC236}">
              <a16:creationId xmlns:a16="http://schemas.microsoft.com/office/drawing/2014/main" id="{B60C91FD-47FD-427A-BF09-82AD4C2F2C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472179</xdr:colOff>
      <xdr:row>2</xdr:row>
      <xdr:rowOff>77075</xdr:rowOff>
    </xdr:from>
    <xdr:to>
      <xdr:col>24</xdr:col>
      <xdr:colOff>97691</xdr:colOff>
      <xdr:row>17</xdr:row>
      <xdr:rowOff>32564</xdr:rowOff>
    </xdr:to>
    <xdr:graphicFrame macro="">
      <xdr:nvGraphicFramePr>
        <xdr:cNvPr id="6" name="Chart 5">
          <a:extLst>
            <a:ext uri="{FF2B5EF4-FFF2-40B4-BE49-F238E27FC236}">
              <a16:creationId xmlns:a16="http://schemas.microsoft.com/office/drawing/2014/main" id="{9F195A6C-14DC-4B5C-BF2A-BA8627001F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244231</xdr:colOff>
      <xdr:row>20</xdr:row>
      <xdr:rowOff>130256</xdr:rowOff>
    </xdr:from>
    <xdr:to>
      <xdr:col>6</xdr:col>
      <xdr:colOff>553589</xdr:colOff>
      <xdr:row>35</xdr:row>
      <xdr:rowOff>89225</xdr:rowOff>
    </xdr:to>
    <xdr:graphicFrame macro="">
      <xdr:nvGraphicFramePr>
        <xdr:cNvPr id="7" name="Chart 6">
          <a:extLst>
            <a:ext uri="{FF2B5EF4-FFF2-40B4-BE49-F238E27FC236}">
              <a16:creationId xmlns:a16="http://schemas.microsoft.com/office/drawing/2014/main" id="{D4CE4244-13A3-4E87-8188-A07FB84B2D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81410</xdr:colOff>
      <xdr:row>20</xdr:row>
      <xdr:rowOff>162820</xdr:rowOff>
    </xdr:from>
    <xdr:to>
      <xdr:col>15</xdr:col>
      <xdr:colOff>211665</xdr:colOff>
      <xdr:row>35</xdr:row>
      <xdr:rowOff>48847</xdr:rowOff>
    </xdr:to>
    <xdr:graphicFrame macro="">
      <xdr:nvGraphicFramePr>
        <xdr:cNvPr id="8" name="Chart 7">
          <a:extLst>
            <a:ext uri="{FF2B5EF4-FFF2-40B4-BE49-F238E27FC236}">
              <a16:creationId xmlns:a16="http://schemas.microsoft.com/office/drawing/2014/main" id="{AF86D9DE-D3B5-49D7-9910-9A6E61F4A0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439615</xdr:colOff>
      <xdr:row>20</xdr:row>
      <xdr:rowOff>113975</xdr:rowOff>
    </xdr:from>
    <xdr:to>
      <xdr:col>24</xdr:col>
      <xdr:colOff>179102</xdr:colOff>
      <xdr:row>35</xdr:row>
      <xdr:rowOff>113975</xdr:rowOff>
    </xdr:to>
    <xdr:graphicFrame macro="">
      <xdr:nvGraphicFramePr>
        <xdr:cNvPr id="9" name="Chart 8">
          <a:extLst>
            <a:ext uri="{FF2B5EF4-FFF2-40B4-BE49-F238E27FC236}">
              <a16:creationId xmlns:a16="http://schemas.microsoft.com/office/drawing/2014/main" id="{0451B4CA-18CF-4A9B-86FB-56EEC43178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24</xdr:col>
      <xdr:colOff>460944</xdr:colOff>
      <xdr:row>1</xdr:row>
      <xdr:rowOff>139212</xdr:rowOff>
    </xdr:from>
    <xdr:to>
      <xdr:col>27</xdr:col>
      <xdr:colOff>325641</xdr:colOff>
      <xdr:row>14</xdr:row>
      <xdr:rowOff>130256</xdr:rowOff>
    </xdr:to>
    <mc:AlternateContent xmlns:mc="http://schemas.openxmlformats.org/markup-compatibility/2006">
      <mc:Choice xmlns:a14="http://schemas.microsoft.com/office/drawing/2010/main" Requires="a14">
        <xdr:graphicFrame macro="">
          <xdr:nvGraphicFramePr>
            <xdr:cNvPr id="10" name="Month">
              <a:extLst>
                <a:ext uri="{FF2B5EF4-FFF2-40B4-BE49-F238E27FC236}">
                  <a16:creationId xmlns:a16="http://schemas.microsoft.com/office/drawing/2014/main" id="{DC316CF3-15EA-4AD9-6E79-D1E59A43D4DD}"/>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5065944" y="532307"/>
              <a:ext cx="1678983" cy="23496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317662</xdr:colOff>
      <xdr:row>1</xdr:row>
      <xdr:rowOff>35820</xdr:rowOff>
    </xdr:from>
    <xdr:to>
      <xdr:col>31</xdr:col>
      <xdr:colOff>339154</xdr:colOff>
      <xdr:row>15</xdr:row>
      <xdr:rowOff>148569</xdr:rowOff>
    </xdr:to>
    <mc:AlternateContent xmlns:mc="http://schemas.openxmlformats.org/markup-compatibility/2006">
      <mc:Choice xmlns:a14="http://schemas.microsoft.com/office/drawing/2010/main" Requires="a14">
        <xdr:graphicFrame macro="">
          <xdr:nvGraphicFramePr>
            <xdr:cNvPr id="11" name="Channel">
              <a:extLst>
                <a:ext uri="{FF2B5EF4-FFF2-40B4-BE49-F238E27FC236}">
                  <a16:creationId xmlns:a16="http://schemas.microsoft.com/office/drawing/2014/main" id="{C59793A2-8EB0-5C8D-C885-55501B9AAD32}"/>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dr:sp macro="" textlink="">
          <xdr:nvSpPr>
            <xdr:cNvPr id="0" name=""/>
            <xdr:cNvSpPr>
              <a:spLocks noTextEdit="1"/>
            </xdr:cNvSpPr>
          </xdr:nvSpPr>
          <xdr:spPr>
            <a:xfrm>
              <a:off x="17341710" y="428915"/>
              <a:ext cx="1835777" cy="26527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609110</xdr:colOff>
      <xdr:row>21</xdr:row>
      <xdr:rowOff>81409</xdr:rowOff>
    </xdr:from>
    <xdr:to>
      <xdr:col>28</xdr:col>
      <xdr:colOff>16770</xdr:colOff>
      <xdr:row>36</xdr:row>
      <xdr:rowOff>13428</xdr:rowOff>
    </xdr:to>
    <mc:AlternateContent xmlns:mc="http://schemas.openxmlformats.org/markup-compatibility/2006">
      <mc:Choice xmlns:a14="http://schemas.microsoft.com/office/drawing/2010/main" Requires="a14">
        <xdr:graphicFrame macro="">
          <xdr:nvGraphicFramePr>
            <xdr:cNvPr id="12" name="Category">
              <a:extLst>
                <a:ext uri="{FF2B5EF4-FFF2-40B4-BE49-F238E27FC236}">
                  <a16:creationId xmlns:a16="http://schemas.microsoft.com/office/drawing/2014/main" id="{2C01BBAA-A303-F49D-0E37-28B11AE11AA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5214110" y="4103076"/>
              <a:ext cx="1826708" cy="26534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279400</xdr:colOff>
      <xdr:row>3</xdr:row>
      <xdr:rowOff>28575</xdr:rowOff>
    </xdr:from>
    <xdr:to>
      <xdr:col>11</xdr:col>
      <xdr:colOff>584200</xdr:colOff>
      <xdr:row>18</xdr:row>
      <xdr:rowOff>9525</xdr:rowOff>
    </xdr:to>
    <xdr:graphicFrame macro="">
      <xdr:nvGraphicFramePr>
        <xdr:cNvPr id="2" name="Chart 1">
          <a:extLst>
            <a:ext uri="{FF2B5EF4-FFF2-40B4-BE49-F238E27FC236}">
              <a16:creationId xmlns:a16="http://schemas.microsoft.com/office/drawing/2014/main" id="{A52EC16C-D3D4-08FD-FC81-C2FA710C8E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63500</xdr:colOff>
      <xdr:row>4</xdr:row>
      <xdr:rowOff>73025</xdr:rowOff>
    </xdr:from>
    <xdr:to>
      <xdr:col>9</xdr:col>
      <xdr:colOff>368300</xdr:colOff>
      <xdr:row>19</xdr:row>
      <xdr:rowOff>53975</xdr:rowOff>
    </xdr:to>
    <xdr:graphicFrame macro="">
      <xdr:nvGraphicFramePr>
        <xdr:cNvPr id="2" name="Chart 1">
          <a:extLst>
            <a:ext uri="{FF2B5EF4-FFF2-40B4-BE49-F238E27FC236}">
              <a16:creationId xmlns:a16="http://schemas.microsoft.com/office/drawing/2014/main" id="{0D1087AF-0BE9-7F0F-2CD9-CF38C6F84D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273050</xdr:colOff>
      <xdr:row>5</xdr:row>
      <xdr:rowOff>174625</xdr:rowOff>
    </xdr:from>
    <xdr:to>
      <xdr:col>9</xdr:col>
      <xdr:colOff>260350</xdr:colOff>
      <xdr:row>19</xdr:row>
      <xdr:rowOff>50800</xdr:rowOff>
    </xdr:to>
    <xdr:graphicFrame macro="">
      <xdr:nvGraphicFramePr>
        <xdr:cNvPr id="2" name="Chart 1">
          <a:extLst>
            <a:ext uri="{FF2B5EF4-FFF2-40B4-BE49-F238E27FC236}">
              <a16:creationId xmlns:a16="http://schemas.microsoft.com/office/drawing/2014/main" id="{1515FE69-C1D5-5C82-DA07-68283A4339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120650</xdr:colOff>
      <xdr:row>4</xdr:row>
      <xdr:rowOff>34925</xdr:rowOff>
    </xdr:from>
    <xdr:to>
      <xdr:col>10</xdr:col>
      <xdr:colOff>425450</xdr:colOff>
      <xdr:row>19</xdr:row>
      <xdr:rowOff>15875</xdr:rowOff>
    </xdr:to>
    <xdr:graphicFrame macro="">
      <xdr:nvGraphicFramePr>
        <xdr:cNvPr id="2" name="Chart 1">
          <a:extLst>
            <a:ext uri="{FF2B5EF4-FFF2-40B4-BE49-F238E27FC236}">
              <a16:creationId xmlns:a16="http://schemas.microsoft.com/office/drawing/2014/main" id="{B69BC43C-285A-97CF-7D2C-1E29542CBB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482600</xdr:colOff>
      <xdr:row>9</xdr:row>
      <xdr:rowOff>133349</xdr:rowOff>
    </xdr:from>
    <xdr:to>
      <xdr:col>9</xdr:col>
      <xdr:colOff>228600</xdr:colOff>
      <xdr:row>19</xdr:row>
      <xdr:rowOff>79374</xdr:rowOff>
    </xdr:to>
    <xdr:graphicFrame macro="">
      <xdr:nvGraphicFramePr>
        <xdr:cNvPr id="2" name="Chart 1">
          <a:extLst>
            <a:ext uri="{FF2B5EF4-FFF2-40B4-BE49-F238E27FC236}">
              <a16:creationId xmlns:a16="http://schemas.microsoft.com/office/drawing/2014/main" id="{0A8C4731-EF40-2C10-C18B-2157A510D7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xdr:col>
      <xdr:colOff>1047750</xdr:colOff>
      <xdr:row>4</xdr:row>
      <xdr:rowOff>98425</xdr:rowOff>
    </xdr:from>
    <xdr:to>
      <xdr:col>9</xdr:col>
      <xdr:colOff>292100</xdr:colOff>
      <xdr:row>19</xdr:row>
      <xdr:rowOff>79375</xdr:rowOff>
    </xdr:to>
    <xdr:graphicFrame macro="">
      <xdr:nvGraphicFramePr>
        <xdr:cNvPr id="2" name="Chart 1">
          <a:extLst>
            <a:ext uri="{FF2B5EF4-FFF2-40B4-BE49-F238E27FC236}">
              <a16:creationId xmlns:a16="http://schemas.microsoft.com/office/drawing/2014/main" id="{2B313E26-5FA4-F1CF-C5EA-1F91CE8558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RINDHA LOGANATHAN" refreshedDate="46101.691595023149" createdVersion="8" refreshedVersion="8" minRefreshableVersion="3" recordCount="9" xr:uid="{EA104223-548F-4233-8948-9B60B232B39F}">
  <cacheSource type="worksheet">
    <worksheetSource ref="A1:S10" sheet="Sheet1"/>
  </cacheSource>
  <cacheFields count="19">
    <cacheField name="index" numFmtId="0">
      <sharedItems containsSemiMixedTypes="0" containsString="0" containsNumber="1" containsInteger="1" minValue="1" maxValue="9"/>
    </cacheField>
    <cacheField name="Order ID" numFmtId="0">
      <sharedItems/>
    </cacheField>
    <cacheField name="Cust ID" numFmtId="0">
      <sharedItems containsSemiMixedTypes="0" containsString="0" containsNumber="1" containsInteger="1" minValue="1029312" maxValue="9293516"/>
    </cacheField>
    <cacheField name="Gender" numFmtId="0">
      <sharedItems count="2">
        <s v="Female"/>
        <s v="Male"/>
      </sharedItems>
    </cacheField>
    <cacheField name="Age" numFmtId="0">
      <sharedItems containsSemiMixedTypes="0" containsString="0" containsNumber="1" containsInteger="1" minValue="20" maxValue="55"/>
    </cacheField>
    <cacheField name="Age Group" numFmtId="0">
      <sharedItems count="3">
        <s v="Adult"/>
        <s v="Teenager"/>
        <s v="Senior"/>
      </sharedItems>
    </cacheField>
    <cacheField name="Date" numFmtId="14">
      <sharedItems containsSemiMixedTypes="0" containsNonDate="0" containsDate="1" containsString="0" minDate="2025-04-21T00:00:00" maxDate="2025-08-25T00:00:00"/>
    </cacheField>
    <cacheField name="Month" numFmtId="14">
      <sharedItems count="7">
        <s v="May"/>
        <s v="Apr"/>
        <s v="Jun"/>
        <s v="Jul"/>
        <s v="Aug"/>
        <s v="Sep" u="1"/>
        <s v="Mar" u="1"/>
      </sharedItems>
    </cacheField>
    <cacheField name="Status" numFmtId="0">
      <sharedItems count="4">
        <s v="Delivered"/>
        <s v="Refunded"/>
        <s v="cancelled"/>
        <s v="Returned"/>
      </sharedItems>
    </cacheField>
    <cacheField name="Channel" numFmtId="0">
      <sharedItems count="5">
        <s v="Myntra"/>
        <s v="Ajio"/>
        <s v="Amazon"/>
        <s v="Flipkart"/>
        <s v="Meesho"/>
      </sharedItems>
    </cacheField>
    <cacheField name="Category" numFmtId="0">
      <sharedItems count="3">
        <s v="kurta"/>
        <s v="Set"/>
        <s v="Western Dress"/>
      </sharedItems>
    </cacheField>
    <cacheField name="Size" numFmtId="0">
      <sharedItems/>
    </cacheField>
    <cacheField name="Qty" numFmtId="0">
      <sharedItems containsSemiMixedTypes="0" containsString="0" containsNumber="1" containsInteger="1" minValue="1" maxValue="3"/>
    </cacheField>
    <cacheField name="currency" numFmtId="0">
      <sharedItems/>
    </cacheField>
    <cacheField name="Amount" numFmtId="0">
      <sharedItems containsSemiMixedTypes="0" containsString="0" containsNumber="1" containsInteger="1" minValue="589" maxValue="2790"/>
    </cacheField>
    <cacheField name="ship-city" numFmtId="0">
      <sharedItems/>
    </cacheField>
    <cacheField name="ship-state" numFmtId="0">
      <sharedItems count="6">
        <s v="PUNJAB"/>
        <s v="HARYANA"/>
        <s v="WEST BENGAL"/>
        <s v="TAMIL NADU"/>
        <s v="MAHARASHTRA"/>
        <s v="KARNATAKA"/>
      </sharedItems>
    </cacheField>
    <cacheField name="ship-postal-code" numFmtId="0">
      <sharedItems containsSemiMixedTypes="0" containsString="0" containsNumber="1" containsInteger="1" minValue="122001" maxValue="700029"/>
    </cacheField>
    <cacheField name="ship-country" numFmtId="0">
      <sharedItems/>
    </cacheField>
  </cacheFields>
  <extLst>
    <ext xmlns:x14="http://schemas.microsoft.com/office/spreadsheetml/2009/9/main" uri="{725AE2AE-9491-48be-B2B4-4EB974FC3084}">
      <x14:pivotCacheDefinition pivotCacheId="197550402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
  <r>
    <n v="1"/>
    <s v="171-1029312-3038738"/>
    <n v="1029312"/>
    <x v="0"/>
    <n v="43"/>
    <x v="0"/>
    <d v="2025-05-07T00:00:00"/>
    <x v="0"/>
    <x v="0"/>
    <x v="0"/>
    <x v="0"/>
    <s v="XXL"/>
    <n v="3"/>
    <s v="INR"/>
    <n v="632"/>
    <s v="MOHALI"/>
    <x v="0"/>
    <n v="140301"/>
    <s v="IN"/>
  </r>
  <r>
    <n v="2"/>
    <s v="405-2183842-2225946"/>
    <n v="2183842"/>
    <x v="0"/>
    <n v="21"/>
    <x v="1"/>
    <d v="2025-04-21T00:00:00"/>
    <x v="1"/>
    <x v="1"/>
    <x v="1"/>
    <x v="1"/>
    <s v="L"/>
    <n v="1"/>
    <s v="INR"/>
    <n v="741"/>
    <s v="GURUGRAM"/>
    <x v="1"/>
    <n v="122002"/>
    <s v="IN"/>
  </r>
  <r>
    <n v="3"/>
    <s v="171-1641533-8921966"/>
    <n v="1641533"/>
    <x v="1"/>
    <n v="20"/>
    <x v="1"/>
    <d v="2025-06-06T00:00:00"/>
    <x v="2"/>
    <x v="2"/>
    <x v="0"/>
    <x v="1"/>
    <s v="S"/>
    <n v="1"/>
    <s v="INR"/>
    <n v="1950"/>
    <s v="KOLKATA"/>
    <x v="2"/>
    <n v="700029"/>
    <s v="IN"/>
  </r>
  <r>
    <n v="4"/>
    <s v="404-7490807-6300351"/>
    <n v="7490807"/>
    <x v="1"/>
    <n v="39"/>
    <x v="0"/>
    <d v="2025-06-06T00:00:00"/>
    <x v="2"/>
    <x v="2"/>
    <x v="2"/>
    <x v="1"/>
    <s v="M"/>
    <n v="2"/>
    <s v="INR"/>
    <n v="971"/>
    <s v="THANJAVUR"/>
    <x v="3"/>
    <n v="613007"/>
    <s v="IN"/>
  </r>
  <r>
    <n v="5"/>
    <s v="403-9293516-4577154"/>
    <n v="9293516"/>
    <x v="0"/>
    <n v="21"/>
    <x v="1"/>
    <d v="2025-05-30T00:00:00"/>
    <x v="0"/>
    <x v="0"/>
    <x v="0"/>
    <x v="0"/>
    <s v="XXL"/>
    <n v="3"/>
    <s v="INR"/>
    <n v="589"/>
    <s v="GURUGRAM"/>
    <x v="1"/>
    <n v="122001"/>
    <s v="IN"/>
  </r>
  <r>
    <n v="6"/>
    <s v="407-1298130-0368305"/>
    <n v="1298130"/>
    <x v="1"/>
    <n v="34"/>
    <x v="0"/>
    <d v="2025-05-07T00:00:00"/>
    <x v="0"/>
    <x v="0"/>
    <x v="3"/>
    <x v="2"/>
    <s v="XXL"/>
    <n v="2"/>
    <s v="INR"/>
    <n v="1070"/>
    <s v="SANGLI MIRAJ KUPWAD"/>
    <x v="4"/>
    <n v="416436"/>
    <s v="IN"/>
  </r>
  <r>
    <n v="7"/>
    <s v="407-1298130-0368305"/>
    <n v="1298130"/>
    <x v="0"/>
    <n v="50"/>
    <x v="2"/>
    <d v="2025-07-28T00:00:00"/>
    <x v="3"/>
    <x v="1"/>
    <x v="4"/>
    <x v="0"/>
    <s v="XXL"/>
    <n v="1"/>
    <s v="INR"/>
    <n v="2790"/>
    <s v="BENGALURU"/>
    <x v="5"/>
    <n v="560029"/>
    <s v="IN"/>
  </r>
  <r>
    <n v="8"/>
    <s v="171-5561216-3398711"/>
    <n v="5561216"/>
    <x v="1"/>
    <n v="37"/>
    <x v="0"/>
    <d v="2025-07-19T00:00:00"/>
    <x v="3"/>
    <x v="3"/>
    <x v="3"/>
    <x v="0"/>
    <s v="M"/>
    <n v="2"/>
    <s v="INR"/>
    <n v="1946"/>
    <s v="GURUGRAM"/>
    <x v="1"/>
    <n v="122001"/>
    <s v="IN"/>
  </r>
  <r>
    <n v="9"/>
    <s v="408-2935263-2935550"/>
    <n v="2935263"/>
    <x v="1"/>
    <n v="55"/>
    <x v="2"/>
    <d v="2025-08-24T00:00:00"/>
    <x v="4"/>
    <x v="0"/>
    <x v="2"/>
    <x v="0"/>
    <s v="XL"/>
    <n v="2"/>
    <s v="INR"/>
    <n v="2701"/>
    <s v="BENGALURU"/>
    <x v="5"/>
    <n v="562149"/>
    <s v="IN"/>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3910710-1271-4D53-B8E7-00EE8B200A14}" name="PivotTable5" cacheId="7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3:C4" firstHeaderRow="0" firstDataRow="1" firstDataCol="1"/>
  <pivotFields count="19">
    <pivotField showAll="0"/>
    <pivotField dataField="1" showAll="0"/>
    <pivotField showAll="0"/>
    <pivotField showAll="0"/>
    <pivotField showAll="0"/>
    <pivotField showAll="0"/>
    <pivotField numFmtId="14" showAll="0"/>
    <pivotField axis="axisRow" showAll="0" sortType="ascending">
      <items count="8">
        <item h="1" m="1" x="6"/>
        <item h="1" x="1"/>
        <item x="0"/>
        <item h="1" x="2"/>
        <item h="1" x="3"/>
        <item h="1" x="4"/>
        <item h="1" m="1" x="5"/>
        <item t="default"/>
      </items>
    </pivotField>
    <pivotField showAll="0"/>
    <pivotField showAll="0">
      <items count="6">
        <item h="1" x="1"/>
        <item h="1" x="2"/>
        <item x="3"/>
        <item h="1" x="4"/>
        <item h="1" x="0"/>
        <item t="default"/>
      </items>
    </pivotField>
    <pivotField showAll="0">
      <items count="4">
        <item h="1" x="0"/>
        <item h="1" x="1"/>
        <item x="2"/>
        <item t="default"/>
      </items>
    </pivotField>
    <pivotField showAll="0"/>
    <pivotField showAll="0"/>
    <pivotField showAll="0"/>
    <pivotField dataField="1" showAll="0"/>
    <pivotField showAll="0"/>
    <pivotField showAll="0"/>
    <pivotField showAll="0"/>
    <pivotField showAll="0"/>
  </pivotFields>
  <rowFields count="1">
    <field x="7"/>
  </rowFields>
  <rowItems count="1">
    <i>
      <x v="2"/>
    </i>
  </rowItems>
  <colFields count="1">
    <field x="-2"/>
  </colFields>
  <colItems count="2">
    <i>
      <x/>
    </i>
    <i i="1">
      <x v="1"/>
    </i>
  </colItems>
  <dataFields count="2">
    <dataField name="Sum of Amount" fld="14" baseField="0" baseItem="0"/>
    <dataField name="Count of Order ID" fld="1"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B5A8297-DD36-4806-A643-D6433BF5779A}" name="PivotTable6" cacheId="7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A3:B5" firstHeaderRow="1" firstDataRow="1" firstDataCol="1"/>
  <pivotFields count="19">
    <pivotField showAll="0"/>
    <pivotField showAll="0"/>
    <pivotField showAll="0"/>
    <pivotField axis="axisRow" showAll="0">
      <items count="3">
        <item x="0"/>
        <item x="1"/>
        <item t="default"/>
      </items>
    </pivotField>
    <pivotField showAll="0"/>
    <pivotField showAll="0"/>
    <pivotField numFmtId="14" showAll="0"/>
    <pivotField showAll="0">
      <items count="8">
        <item h="1" m="1" x="6"/>
        <item h="1" x="1"/>
        <item x="0"/>
        <item h="1" x="2"/>
        <item h="1" x="3"/>
        <item h="1" x="4"/>
        <item h="1" m="1" x="5"/>
        <item t="default"/>
      </items>
    </pivotField>
    <pivotField showAll="0"/>
    <pivotField showAll="0"/>
    <pivotField showAll="0"/>
    <pivotField showAll="0"/>
    <pivotField showAll="0"/>
    <pivotField showAll="0"/>
    <pivotField dataField="1" showAll="0"/>
    <pivotField showAll="0"/>
    <pivotField showAll="0"/>
    <pivotField showAll="0"/>
    <pivotField showAll="0"/>
  </pivotFields>
  <rowFields count="1">
    <field x="3"/>
  </rowFields>
  <rowItems count="2">
    <i>
      <x/>
    </i>
    <i>
      <x v="1"/>
    </i>
  </rowItems>
  <colItems count="1">
    <i/>
  </colItems>
  <dataFields count="1">
    <dataField name="Sum of Amount" fld="14"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1"/>
          </reference>
        </references>
      </pivotArea>
    </chartFormat>
    <chartFormat chart="0" format="2">
      <pivotArea type="data" outline="0" fieldPosition="0">
        <references count="2">
          <reference field="4294967294" count="1" selected="0">
            <x v="0"/>
          </reference>
          <reference field="3"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3" count="1" selected="0">
            <x v="0"/>
          </reference>
        </references>
      </pivotArea>
    </chartFormat>
    <chartFormat chart="3" format="8">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7C80541-E153-4F2E-9F8D-CF1EF706939D}" name="PivotTable7" cacheId="7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A3:B4" firstHeaderRow="1" firstDataRow="1" firstDataCol="1"/>
  <pivotFields count="19">
    <pivotField showAll="0"/>
    <pivotField dataField="1" showAll="0"/>
    <pivotField showAll="0"/>
    <pivotField showAll="0"/>
    <pivotField showAll="0"/>
    <pivotField showAll="0"/>
    <pivotField numFmtId="14" showAll="0"/>
    <pivotField showAll="0">
      <items count="8">
        <item h="1" m="1" x="6"/>
        <item h="1" x="1"/>
        <item x="0"/>
        <item h="1" x="2"/>
        <item h="1" x="3"/>
        <item h="1" x="4"/>
        <item h="1" m="1" x="5"/>
        <item t="default"/>
      </items>
    </pivotField>
    <pivotField axis="axisRow" showAll="0">
      <items count="5">
        <item x="0"/>
        <item x="1"/>
        <item x="2"/>
        <item x="3"/>
        <item t="default"/>
      </items>
    </pivotField>
    <pivotField showAll="0"/>
    <pivotField showAll="0"/>
    <pivotField showAll="0"/>
    <pivotField showAll="0"/>
    <pivotField showAll="0"/>
    <pivotField showAll="0"/>
    <pivotField showAll="0"/>
    <pivotField showAll="0"/>
    <pivotField showAll="0"/>
    <pivotField showAll="0"/>
  </pivotFields>
  <rowFields count="1">
    <field x="8"/>
  </rowFields>
  <rowItems count="1">
    <i>
      <x/>
    </i>
  </rowItems>
  <colItems count="1">
    <i/>
  </colItems>
  <dataFields count="1">
    <dataField name="Count of Order ID" fld="1" subtotal="count" baseField="0" baseItem="0"/>
  </dataFields>
  <chartFormats count="7">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8" count="1" selected="0">
            <x v="0"/>
          </reference>
        </references>
      </pivotArea>
    </chartFormat>
    <chartFormat chart="3" format="9">
      <pivotArea type="data" outline="0" fieldPosition="0">
        <references count="2">
          <reference field="4294967294" count="1" selected="0">
            <x v="0"/>
          </reference>
          <reference field="8" count="1" selected="0">
            <x v="1"/>
          </reference>
        </references>
      </pivotArea>
    </chartFormat>
    <chartFormat chart="3" format="10">
      <pivotArea type="data" outline="0" fieldPosition="0">
        <references count="2">
          <reference field="4294967294" count="1" selected="0">
            <x v="0"/>
          </reference>
          <reference field="8" count="1" selected="0">
            <x v="2"/>
          </reference>
        </references>
      </pivotArea>
    </chartFormat>
    <chartFormat chart="3" format="11">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E7B54BC-F1A3-48B2-9FD0-5600E1DBFC57}" name="PivotTable8" cacheId="7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A3:B6" firstHeaderRow="1" firstDataRow="1" firstDataCol="1"/>
  <pivotFields count="19">
    <pivotField showAll="0"/>
    <pivotField showAll="0"/>
    <pivotField showAll="0"/>
    <pivotField showAll="0"/>
    <pivotField showAll="0"/>
    <pivotField showAll="0"/>
    <pivotField numFmtId="14" showAll="0"/>
    <pivotField showAll="0">
      <items count="8">
        <item h="1" m="1" x="6"/>
        <item h="1" x="1"/>
        <item x="0"/>
        <item h="1" x="2"/>
        <item h="1" x="3"/>
        <item h="1" x="4"/>
        <item h="1" m="1" x="5"/>
        <item t="default"/>
      </items>
    </pivotField>
    <pivotField showAll="0"/>
    <pivotField showAll="0"/>
    <pivotField showAll="0"/>
    <pivotField showAll="0"/>
    <pivotField showAll="0"/>
    <pivotField showAll="0"/>
    <pivotField dataField="1" showAll="0"/>
    <pivotField showAll="0"/>
    <pivotField axis="axisRow" showAll="0">
      <items count="7">
        <item x="1"/>
        <item x="5"/>
        <item x="4"/>
        <item x="0"/>
        <item x="3"/>
        <item x="2"/>
        <item t="default"/>
      </items>
    </pivotField>
    <pivotField showAll="0"/>
    <pivotField showAll="0"/>
  </pivotFields>
  <rowFields count="1">
    <field x="16"/>
  </rowFields>
  <rowItems count="3">
    <i>
      <x/>
    </i>
    <i>
      <x v="2"/>
    </i>
    <i>
      <x v="3"/>
    </i>
  </rowItems>
  <colItems count="1">
    <i/>
  </colItems>
  <dataFields count="1">
    <dataField name="Sum of Amount" fld="14"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A3B491F-81DD-4682-9AC9-F9E8464A70AA}" name="PivotTable9" cacheId="7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A3:C6" firstHeaderRow="1" firstDataRow="2" firstDataCol="1"/>
  <pivotFields count="19">
    <pivotField showAll="0"/>
    <pivotField dataField="1" showAll="0"/>
    <pivotField showAll="0"/>
    <pivotField axis="axisCol" showAll="0">
      <items count="3">
        <item x="0"/>
        <item x="1"/>
        <item t="default"/>
      </items>
    </pivotField>
    <pivotField showAll="0"/>
    <pivotField axis="axisRow" showAll="0">
      <items count="4">
        <item x="0"/>
        <item x="2"/>
        <item x="1"/>
        <item t="default"/>
      </items>
    </pivotField>
    <pivotField numFmtId="14" showAll="0"/>
    <pivotField showAll="0">
      <items count="8">
        <item h="1" m="1" x="6"/>
        <item h="1" x="1"/>
        <item x="0"/>
        <item h="1" x="2"/>
        <item h="1" x="3"/>
        <item h="1" x="4"/>
        <item h="1" m="1" x="5"/>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2">
    <i>
      <x/>
    </i>
    <i>
      <x v="2"/>
    </i>
  </rowItems>
  <colFields count="1">
    <field x="3"/>
  </colFields>
  <colItems count="2">
    <i>
      <x/>
    </i>
    <i>
      <x v="1"/>
    </i>
  </colItems>
  <dataFields count="1">
    <dataField name="Count of Order ID" fld="1" subtotal="count" baseField="0" baseItem="0"/>
  </dataFields>
  <chartFormats count="6">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3" format="4" series="1">
      <pivotArea type="data" outline="0" fieldPosition="0">
        <references count="2">
          <reference field="4294967294" count="1" selected="0">
            <x v="0"/>
          </reference>
          <reference field="3" count="1" selected="0">
            <x v="0"/>
          </reference>
        </references>
      </pivotArea>
    </chartFormat>
    <chartFormat chart="3" format="5" series="1">
      <pivotArea type="data" outline="0" fieldPosition="0">
        <references count="2">
          <reference field="4294967294" count="1" selected="0">
            <x v="0"/>
          </reference>
          <reference field="3" count="1" selected="0">
            <x v="1"/>
          </reference>
        </references>
      </pivotArea>
    </chartFormat>
    <chartFormat chart="3"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DDF7827-FC6C-4006-BF18-D8686BD6A52A}" name="PivotTable10" cacheId="7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A3:B5" firstHeaderRow="1" firstDataRow="1" firstDataCol="1"/>
  <pivotFields count="19">
    <pivotField showAll="0"/>
    <pivotField dataField="1" showAll="0"/>
    <pivotField showAll="0"/>
    <pivotField showAll="0"/>
    <pivotField showAll="0"/>
    <pivotField showAll="0"/>
    <pivotField numFmtId="14" showAll="0"/>
    <pivotField showAll="0">
      <items count="8">
        <item h="1" m="1" x="6"/>
        <item h="1" x="1"/>
        <item x="0"/>
        <item h="1" x="2"/>
        <item h="1" x="3"/>
        <item h="1" x="4"/>
        <item h="1" m="1" x="5"/>
        <item t="default"/>
      </items>
    </pivotField>
    <pivotField showAll="0"/>
    <pivotField axis="axisRow" showAll="0">
      <items count="6">
        <item x="1"/>
        <item x="2"/>
        <item x="3"/>
        <item x="4"/>
        <item x="0"/>
        <item t="default"/>
      </items>
    </pivotField>
    <pivotField showAll="0"/>
    <pivotField showAll="0"/>
    <pivotField showAll="0"/>
    <pivotField showAll="0"/>
    <pivotField showAll="0"/>
    <pivotField showAll="0"/>
    <pivotField showAll="0"/>
    <pivotField showAll="0"/>
    <pivotField showAll="0"/>
  </pivotFields>
  <rowFields count="1">
    <field x="9"/>
  </rowFields>
  <rowItems count="2">
    <i>
      <x v="2"/>
    </i>
    <i>
      <x v="4"/>
    </i>
  </rowItems>
  <colItems count="1">
    <i/>
  </colItems>
  <dataFields count="1">
    <dataField name="Count of Order ID" fld="1" subtotal="count" showDataAs="percentOfTotal" baseField="0" baseItem="0" numFmtId="10"/>
  </dataFields>
  <chartFormats count="13">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9" count="1" selected="0">
            <x v="0"/>
          </reference>
        </references>
      </pivotArea>
    </chartFormat>
    <chartFormat chart="4" format="3">
      <pivotArea type="data" outline="0" fieldPosition="0">
        <references count="2">
          <reference field="4294967294" count="1" selected="0">
            <x v="0"/>
          </reference>
          <reference field="9" count="1" selected="0">
            <x v="1"/>
          </reference>
        </references>
      </pivotArea>
    </chartFormat>
    <chartFormat chart="4" format="4">
      <pivotArea type="data" outline="0" fieldPosition="0">
        <references count="2">
          <reference field="4294967294" count="1" selected="0">
            <x v="0"/>
          </reference>
          <reference field="9" count="1" selected="0">
            <x v="2"/>
          </reference>
        </references>
      </pivotArea>
    </chartFormat>
    <chartFormat chart="4" format="5">
      <pivotArea type="data" outline="0" fieldPosition="0">
        <references count="2">
          <reference field="4294967294" count="1" selected="0">
            <x v="0"/>
          </reference>
          <reference field="9" count="1" selected="0">
            <x v="3"/>
          </reference>
        </references>
      </pivotArea>
    </chartFormat>
    <chartFormat chart="4" format="6">
      <pivotArea type="data" outline="0" fieldPosition="0">
        <references count="2">
          <reference field="4294967294" count="1" selected="0">
            <x v="0"/>
          </reference>
          <reference field="9" count="1" selected="0">
            <x v="4"/>
          </reference>
        </references>
      </pivotArea>
    </chartFormat>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9" count="1" selected="0">
            <x v="0"/>
          </reference>
        </references>
      </pivotArea>
    </chartFormat>
    <chartFormat chart="5" format="9">
      <pivotArea type="data" outline="0" fieldPosition="0">
        <references count="2">
          <reference field="4294967294" count="1" selected="0">
            <x v="0"/>
          </reference>
          <reference field="9" count="1" selected="0">
            <x v="1"/>
          </reference>
        </references>
      </pivotArea>
    </chartFormat>
    <chartFormat chart="5" format="10">
      <pivotArea type="data" outline="0" fieldPosition="0">
        <references count="2">
          <reference field="4294967294" count="1" selected="0">
            <x v="0"/>
          </reference>
          <reference field="9" count="1" selected="0">
            <x v="2"/>
          </reference>
        </references>
      </pivotArea>
    </chartFormat>
    <chartFormat chart="5" format="11">
      <pivotArea type="data" outline="0" fieldPosition="0">
        <references count="2">
          <reference field="4294967294" count="1" selected="0">
            <x v="0"/>
          </reference>
          <reference field="9" count="1" selected="0">
            <x v="3"/>
          </reference>
        </references>
      </pivotArea>
    </chartFormat>
    <chartFormat chart="5" format="12">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FA4F1A65-98FC-484D-AED1-71B95C16C956}" sourceName="Month">
  <pivotTables>
    <pivotTable tabId="5" name="PivotTable5"/>
    <pivotTable tabId="12" name="PivotTable9"/>
    <pivotTable tabId="6" name="PivotTable6"/>
    <pivotTable tabId="13" name="PivotTable10"/>
    <pivotTable tabId="9" name="PivotTable8"/>
    <pivotTable tabId="8" name="PivotTable7"/>
  </pivotTables>
  <data>
    <tabular pivotCacheId="1975504021">
      <items count="7">
        <i x="1"/>
        <i x="0" s="1"/>
        <i x="2"/>
        <i x="3"/>
        <i x="4"/>
        <i x="6" nd="1"/>
        <i x="5"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0F57CD3E-8EE1-4C67-8AE0-940C7E7F2A1D}" sourceName="Channel">
  <pivotTables>
    <pivotTable tabId="5" name="PivotTable5"/>
  </pivotTables>
  <data>
    <tabular pivotCacheId="1975504021">
      <items count="5">
        <i x="3" s="1"/>
        <i x="1" nd="1"/>
        <i x="2" nd="1"/>
        <i x="4" nd="1"/>
        <i x="0"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432264D-7F95-41D6-ACC2-18C5266645B9}" sourceName="Category">
  <pivotTables>
    <pivotTable tabId="5" name="PivotTable5"/>
  </pivotTables>
  <data>
    <tabular pivotCacheId="1975504021">
      <items count="3">
        <i x="2" s="1"/>
        <i x="0" nd="1"/>
        <i x="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75F90FB3-26E1-4C54-8013-7CBB366D1A09}" cache="Slicer_Month" caption="Month" rowHeight="251883"/>
  <slicer name="Channel" xr10:uid="{0BFA91AE-D9E8-4FE2-8DDE-D16805D442D7}" cache="Slicer_Channel" caption="Channel" rowHeight="251883"/>
  <slicer name="Category" xr10:uid="{C2F34518-FA1D-48BE-8CF0-19B56E259716}" cache="Slicer_Category" caption="Category"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04BF13-59DE-440F-BBD5-C387D15123AB}">
  <dimension ref="A1:AF39"/>
  <sheetViews>
    <sheetView tabSelected="1" zoomScale="42" zoomScaleNormal="42" workbookViewId="0">
      <selection activeCell="AK29" sqref="AK29"/>
    </sheetView>
  </sheetViews>
  <sheetFormatPr defaultRowHeight="14.5" x14ac:dyDescent="0.35"/>
  <cols>
    <col min="1" max="1" width="10" customWidth="1"/>
  </cols>
  <sheetData>
    <row r="1" spans="1:32" ht="31" x14ac:dyDescent="0.7">
      <c r="A1" s="9" t="s">
        <v>61</v>
      </c>
      <c r="B1" s="9"/>
      <c r="C1" s="9"/>
      <c r="D1" s="9"/>
      <c r="E1" s="9"/>
      <c r="F1" s="9"/>
      <c r="G1" s="9"/>
      <c r="H1" s="9"/>
      <c r="I1" s="9"/>
      <c r="J1" s="9"/>
      <c r="K1" s="9"/>
      <c r="L1" s="9"/>
      <c r="M1" s="9"/>
      <c r="N1" s="9"/>
      <c r="O1" s="9"/>
      <c r="P1" s="9"/>
      <c r="Q1" s="9"/>
      <c r="R1" s="9"/>
      <c r="S1" s="9"/>
      <c r="T1" s="9"/>
      <c r="U1" s="9"/>
      <c r="V1" s="9"/>
      <c r="W1" s="9"/>
      <c r="X1" s="9"/>
      <c r="Y1" s="9"/>
      <c r="Z1" s="9"/>
      <c r="AA1" s="9"/>
      <c r="AB1" s="9"/>
      <c r="AC1" s="9"/>
      <c r="AD1" s="9"/>
      <c r="AE1" s="9"/>
      <c r="AF1" s="9"/>
    </row>
    <row r="2" spans="1:32" x14ac:dyDescent="0.35">
      <c r="A2" s="7"/>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row>
    <row r="3" spans="1:32" x14ac:dyDescent="0.35">
      <c r="A3" s="7"/>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row>
    <row r="4" spans="1:32" x14ac:dyDescent="0.35">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row>
    <row r="5" spans="1:32" x14ac:dyDescent="0.35">
      <c r="A5" s="7"/>
      <c r="B5" s="7"/>
      <c r="C5" s="7"/>
      <c r="D5" s="7"/>
      <c r="E5" s="7"/>
      <c r="F5" s="7"/>
      <c r="G5" s="7"/>
      <c r="H5" s="7"/>
      <c r="I5" s="7"/>
      <c r="J5" s="7"/>
      <c r="K5" s="7"/>
      <c r="L5" s="7"/>
      <c r="M5" s="7"/>
      <c r="N5" s="7"/>
      <c r="O5" s="7"/>
      <c r="P5" s="7"/>
      <c r="Q5" s="7"/>
      <c r="R5" s="7"/>
      <c r="S5" s="7"/>
      <c r="T5" s="7"/>
      <c r="U5" s="7"/>
      <c r="V5" s="7"/>
      <c r="W5" s="7"/>
      <c r="X5" s="7"/>
      <c r="Y5" s="7"/>
      <c r="Z5" s="7"/>
      <c r="AA5" s="7"/>
      <c r="AB5" s="7"/>
      <c r="AC5" s="7"/>
      <c r="AD5" s="7"/>
      <c r="AE5" s="7"/>
      <c r="AF5" s="7"/>
    </row>
    <row r="6" spans="1:32" x14ac:dyDescent="0.35">
      <c r="A6" s="7"/>
      <c r="B6" s="7"/>
      <c r="C6" s="7"/>
      <c r="D6" s="7"/>
      <c r="E6" s="7"/>
      <c r="F6" s="7"/>
      <c r="G6" s="7"/>
      <c r="H6" s="7"/>
      <c r="I6" s="7"/>
      <c r="J6" s="7"/>
      <c r="K6" s="7"/>
      <c r="L6" s="7"/>
      <c r="M6" s="7"/>
      <c r="N6" s="7"/>
      <c r="O6" s="7"/>
      <c r="P6" s="7"/>
      <c r="Q6" s="7"/>
      <c r="R6" s="7"/>
      <c r="S6" s="7"/>
      <c r="T6" s="7"/>
      <c r="U6" s="7"/>
      <c r="V6" s="7"/>
      <c r="W6" s="7"/>
      <c r="X6" s="7"/>
      <c r="Y6" s="7"/>
      <c r="Z6" s="7"/>
      <c r="AA6" s="7"/>
      <c r="AB6" s="7"/>
      <c r="AC6" s="7"/>
      <c r="AD6" s="7"/>
      <c r="AE6" s="7"/>
      <c r="AF6" s="7"/>
    </row>
    <row r="7" spans="1:32" x14ac:dyDescent="0.35">
      <c r="A7" s="7"/>
      <c r="B7" s="7"/>
      <c r="C7" s="7"/>
      <c r="D7" s="7"/>
      <c r="E7" s="7"/>
      <c r="F7" s="7"/>
      <c r="G7" s="7"/>
      <c r="H7" s="7"/>
      <c r="I7" s="7"/>
      <c r="J7" s="7"/>
      <c r="K7" s="7"/>
      <c r="L7" s="7"/>
      <c r="M7" s="7"/>
      <c r="N7" s="7"/>
      <c r="O7" s="7"/>
      <c r="P7" s="7"/>
      <c r="Q7" s="7"/>
      <c r="R7" s="7"/>
      <c r="S7" s="7"/>
      <c r="T7" s="7"/>
      <c r="U7" s="7"/>
      <c r="V7" s="7"/>
      <c r="W7" s="7"/>
      <c r="X7" s="7"/>
      <c r="Y7" s="7"/>
      <c r="Z7" s="7"/>
      <c r="AA7" s="7"/>
      <c r="AB7" s="7"/>
      <c r="AC7" s="7"/>
      <c r="AD7" s="7"/>
      <c r="AE7" s="7"/>
      <c r="AF7" s="7"/>
    </row>
    <row r="8" spans="1:32" x14ac:dyDescent="0.35">
      <c r="A8" s="7"/>
      <c r="B8" s="7"/>
      <c r="C8" s="7"/>
      <c r="D8" s="7"/>
      <c r="E8" s="7"/>
      <c r="F8" s="7"/>
      <c r="G8" s="7"/>
      <c r="H8" s="7"/>
      <c r="I8" s="8"/>
      <c r="J8" s="7"/>
      <c r="K8" s="7"/>
      <c r="L8" s="7"/>
      <c r="M8" s="7"/>
      <c r="N8" s="7"/>
      <c r="O8" s="7"/>
      <c r="P8" s="7"/>
      <c r="Q8" s="7"/>
      <c r="R8" s="7"/>
      <c r="S8" s="7"/>
      <c r="T8" s="7"/>
      <c r="U8" s="7"/>
      <c r="V8" s="7"/>
      <c r="W8" s="7"/>
      <c r="X8" s="7"/>
      <c r="Y8" s="7"/>
      <c r="Z8" s="7"/>
      <c r="AA8" s="7"/>
      <c r="AB8" s="7"/>
      <c r="AC8" s="7"/>
      <c r="AD8" s="7"/>
      <c r="AE8" s="7"/>
      <c r="AF8" s="7"/>
    </row>
    <row r="9" spans="1:32" x14ac:dyDescent="0.35">
      <c r="A9" s="7"/>
      <c r="B9" s="7"/>
      <c r="C9" s="7"/>
      <c r="D9" s="7"/>
      <c r="E9" s="7"/>
      <c r="F9" s="7"/>
      <c r="G9" s="7"/>
      <c r="H9" s="7"/>
      <c r="I9" s="7"/>
      <c r="J9" s="7"/>
      <c r="K9" s="7"/>
      <c r="L9" s="7"/>
      <c r="M9" s="7"/>
      <c r="N9" s="7"/>
      <c r="O9" s="7"/>
      <c r="P9" s="7"/>
      <c r="Q9" s="7"/>
      <c r="R9" s="7"/>
      <c r="S9" s="7"/>
      <c r="T9" s="7"/>
      <c r="U9" s="7"/>
      <c r="V9" s="7"/>
      <c r="W9" s="7"/>
      <c r="X9" s="7"/>
      <c r="Y9" s="7"/>
      <c r="Z9" s="7"/>
      <c r="AA9" s="7"/>
      <c r="AB9" s="7"/>
      <c r="AC9" s="7"/>
      <c r="AD9" s="7"/>
      <c r="AE9" s="7"/>
      <c r="AF9" s="7"/>
    </row>
    <row r="10" spans="1:32" x14ac:dyDescent="0.35">
      <c r="A10" s="7"/>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row>
    <row r="11" spans="1:32" x14ac:dyDescent="0.35">
      <c r="A11" s="7"/>
      <c r="B11" s="7"/>
      <c r="C11" s="7"/>
      <c r="D11" s="7"/>
      <c r="E11" s="7"/>
      <c r="F11" s="7"/>
      <c r="G11" s="7"/>
      <c r="H11" s="7"/>
      <c r="I11" s="7"/>
      <c r="J11" s="7"/>
      <c r="K11" s="7"/>
      <c r="L11" s="7"/>
      <c r="M11" s="7"/>
      <c r="N11" s="7"/>
      <c r="O11" s="7"/>
      <c r="P11" s="7"/>
      <c r="Q11" s="7"/>
      <c r="R11" s="7"/>
      <c r="S11" s="7"/>
      <c r="T11" s="7"/>
      <c r="U11" s="7"/>
      <c r="V11" s="7"/>
      <c r="W11" s="7"/>
      <c r="X11" s="7"/>
      <c r="Y11" s="7"/>
      <c r="Z11" s="7"/>
      <c r="AA11" s="7"/>
      <c r="AB11" s="7"/>
      <c r="AC11" s="7"/>
      <c r="AD11" s="7"/>
      <c r="AE11" s="7"/>
      <c r="AF11" s="7"/>
    </row>
    <row r="12" spans="1:32" x14ac:dyDescent="0.35">
      <c r="A12" s="7"/>
      <c r="B12" s="7"/>
      <c r="C12" s="7"/>
      <c r="D12" s="7"/>
      <c r="E12" s="7"/>
      <c r="F12" s="7"/>
      <c r="G12" s="7"/>
      <c r="H12" s="7"/>
      <c r="I12" s="7"/>
      <c r="J12" s="7"/>
      <c r="K12" s="7"/>
      <c r="L12" s="7"/>
      <c r="M12" s="7"/>
      <c r="N12" s="7"/>
      <c r="O12" s="7"/>
      <c r="P12" s="7"/>
      <c r="Q12" s="7"/>
      <c r="R12" s="7"/>
      <c r="S12" s="7"/>
      <c r="T12" s="7"/>
      <c r="U12" s="7"/>
      <c r="V12" s="7"/>
      <c r="W12" s="7"/>
      <c r="X12" s="7"/>
      <c r="Y12" s="7"/>
      <c r="Z12" s="7"/>
      <c r="AA12" s="7"/>
      <c r="AB12" s="7"/>
      <c r="AC12" s="7"/>
      <c r="AD12" s="7"/>
      <c r="AE12" s="7"/>
      <c r="AF12" s="7"/>
    </row>
    <row r="13" spans="1:32" x14ac:dyDescent="0.35">
      <c r="A13" s="7"/>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row>
    <row r="14" spans="1:32" x14ac:dyDescent="0.35">
      <c r="A14" s="7"/>
      <c r="B14" s="7"/>
      <c r="C14" s="7"/>
      <c r="D14" s="7"/>
      <c r="E14" s="7"/>
      <c r="F14" s="7"/>
      <c r="G14" s="7"/>
      <c r="H14" s="7"/>
      <c r="I14" s="7"/>
      <c r="J14" s="7"/>
      <c r="K14" s="7"/>
      <c r="L14" s="7"/>
      <c r="M14" s="7"/>
      <c r="N14" s="7"/>
      <c r="O14" s="7"/>
      <c r="P14" s="7"/>
      <c r="Q14" s="7"/>
      <c r="R14" s="7"/>
      <c r="S14" s="7"/>
      <c r="T14" s="7"/>
      <c r="U14" s="7"/>
      <c r="V14" s="7"/>
      <c r="W14" s="7"/>
      <c r="X14" s="7"/>
      <c r="Y14" s="7"/>
      <c r="Z14" s="7"/>
      <c r="AA14" s="7"/>
      <c r="AB14" s="7"/>
      <c r="AC14" s="7"/>
      <c r="AD14" s="7"/>
      <c r="AE14" s="7"/>
      <c r="AF14" s="7"/>
    </row>
    <row r="15" spans="1:32" x14ac:dyDescent="0.35">
      <c r="A15" s="7"/>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row>
    <row r="16" spans="1:32" x14ac:dyDescent="0.35">
      <c r="A16" s="7"/>
      <c r="B16" s="7"/>
      <c r="C16" s="7"/>
      <c r="D16" s="7"/>
      <c r="E16" s="7"/>
      <c r="F16" s="7"/>
      <c r="G16" s="7"/>
      <c r="H16" s="7"/>
      <c r="I16" s="7"/>
      <c r="J16" s="7"/>
      <c r="K16" s="7"/>
      <c r="L16" s="7"/>
      <c r="M16" s="7"/>
      <c r="N16" s="7"/>
      <c r="O16" s="7"/>
      <c r="P16" s="7"/>
      <c r="Q16" s="7"/>
      <c r="R16" s="7"/>
      <c r="S16" s="7"/>
      <c r="T16" s="7"/>
      <c r="U16" s="7"/>
      <c r="V16" s="7"/>
      <c r="W16" s="7"/>
      <c r="X16" s="7"/>
      <c r="Y16" s="7"/>
      <c r="Z16" s="7"/>
      <c r="AA16" s="7"/>
      <c r="AB16" s="7"/>
      <c r="AC16" s="7"/>
      <c r="AD16" s="7"/>
      <c r="AE16" s="7"/>
      <c r="AF16" s="7"/>
    </row>
    <row r="17" spans="1:32" x14ac:dyDescent="0.35">
      <c r="A17" s="7"/>
      <c r="B17" s="7"/>
      <c r="C17" s="7"/>
      <c r="D17" s="7"/>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row>
    <row r="18" spans="1:32" x14ac:dyDescent="0.35">
      <c r="A18" s="7"/>
      <c r="B18" s="7"/>
      <c r="C18" s="7"/>
      <c r="D18" s="7"/>
      <c r="E18" s="7"/>
      <c r="F18" s="7"/>
      <c r="G18" s="7"/>
      <c r="H18" s="7"/>
      <c r="I18" s="7"/>
      <c r="J18" s="7"/>
      <c r="K18" s="7"/>
      <c r="L18" s="7"/>
      <c r="M18" s="7"/>
      <c r="N18" s="7"/>
      <c r="O18" s="7"/>
      <c r="P18" s="7"/>
      <c r="Q18" s="7"/>
      <c r="R18" s="7"/>
      <c r="S18" s="7"/>
      <c r="T18" s="7"/>
      <c r="U18" s="7"/>
      <c r="V18" s="7"/>
      <c r="W18" s="7"/>
      <c r="X18" s="7"/>
      <c r="Y18" s="7"/>
      <c r="Z18" s="7"/>
      <c r="AA18" s="7"/>
      <c r="AB18" s="7"/>
      <c r="AC18" s="7"/>
      <c r="AD18" s="7"/>
      <c r="AE18" s="7"/>
      <c r="AF18" s="7"/>
    </row>
    <row r="19" spans="1:32" x14ac:dyDescent="0.35">
      <c r="A19" s="7"/>
      <c r="B19" s="7"/>
      <c r="C19" s="7"/>
      <c r="D19" s="7"/>
      <c r="E19" s="7"/>
      <c r="F19" s="7"/>
      <c r="G19" s="7"/>
      <c r="H19" s="7"/>
      <c r="I19" s="7"/>
      <c r="J19" s="7"/>
      <c r="K19" s="7"/>
      <c r="L19" s="7"/>
      <c r="M19" s="7"/>
      <c r="N19" s="7"/>
      <c r="O19" s="7"/>
      <c r="P19" s="7"/>
      <c r="Q19" s="7"/>
      <c r="R19" s="7"/>
      <c r="S19" s="7"/>
      <c r="T19" s="7"/>
      <c r="U19" s="7"/>
      <c r="V19" s="7"/>
      <c r="W19" s="7"/>
      <c r="X19" s="7"/>
      <c r="Y19" s="7"/>
      <c r="Z19" s="7"/>
      <c r="AA19" s="7"/>
      <c r="AB19" s="7"/>
      <c r="AC19" s="7"/>
      <c r="AD19" s="7"/>
      <c r="AE19" s="7"/>
      <c r="AF19" s="7"/>
    </row>
    <row r="20" spans="1:32" x14ac:dyDescent="0.35">
      <c r="A20" s="7"/>
      <c r="B20" s="7"/>
      <c r="C20" s="7"/>
      <c r="D20" s="7"/>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row>
    <row r="21" spans="1:32" x14ac:dyDescent="0.35">
      <c r="A21" s="7"/>
      <c r="B21" s="7"/>
      <c r="C21" s="7"/>
      <c r="D21" s="7"/>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row>
    <row r="22" spans="1:32" x14ac:dyDescent="0.35">
      <c r="A22" s="7"/>
      <c r="B22" s="7"/>
      <c r="C22" s="7"/>
      <c r="D22" s="7"/>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row>
    <row r="23" spans="1:32" x14ac:dyDescent="0.35">
      <c r="A23" s="7"/>
      <c r="B23" s="7"/>
      <c r="C23" s="7"/>
      <c r="D23" s="7"/>
      <c r="E23" s="7"/>
      <c r="F23" s="7"/>
      <c r="G23" s="7"/>
      <c r="H23" s="7"/>
      <c r="I23" s="7"/>
      <c r="J23" s="7"/>
      <c r="K23" s="7"/>
      <c r="L23" s="7"/>
      <c r="M23" s="7"/>
      <c r="N23" s="7"/>
      <c r="O23" s="7"/>
      <c r="P23" s="7"/>
      <c r="Q23" s="7"/>
      <c r="R23" s="7"/>
      <c r="S23" s="7"/>
      <c r="T23" s="7"/>
      <c r="U23" s="7"/>
      <c r="V23" s="7"/>
      <c r="W23" s="7"/>
      <c r="X23" s="7"/>
      <c r="Y23" s="7"/>
      <c r="Z23" s="7"/>
      <c r="AA23" s="7"/>
      <c r="AB23" s="7"/>
      <c r="AC23" s="7"/>
      <c r="AD23" s="7"/>
      <c r="AE23" s="7"/>
      <c r="AF23" s="7"/>
    </row>
    <row r="24" spans="1:32" x14ac:dyDescent="0.35">
      <c r="A24" s="7"/>
      <c r="B24" s="7"/>
      <c r="C24" s="7"/>
      <c r="D24" s="7"/>
      <c r="E24" s="7"/>
      <c r="F24" s="7"/>
      <c r="G24" s="7"/>
      <c r="H24" s="7"/>
      <c r="I24" s="7"/>
      <c r="J24" s="7"/>
      <c r="K24" s="7"/>
      <c r="L24" s="7"/>
      <c r="M24" s="7"/>
      <c r="N24" s="7"/>
      <c r="O24" s="7"/>
      <c r="P24" s="7"/>
      <c r="Q24" s="7"/>
      <c r="R24" s="7"/>
      <c r="S24" s="7"/>
      <c r="T24" s="7"/>
      <c r="U24" s="7"/>
      <c r="V24" s="7"/>
      <c r="W24" s="7"/>
      <c r="X24" s="7"/>
      <c r="Y24" s="7"/>
      <c r="Z24" s="7"/>
      <c r="AA24" s="7"/>
      <c r="AB24" s="7"/>
      <c r="AC24" s="7"/>
      <c r="AD24" s="7"/>
      <c r="AE24" s="7"/>
      <c r="AF24" s="7"/>
    </row>
    <row r="25" spans="1:32" x14ac:dyDescent="0.35">
      <c r="A25" s="7"/>
      <c r="B25" s="7"/>
      <c r="C25" s="7"/>
      <c r="D25" s="7"/>
      <c r="E25" s="7"/>
      <c r="F25" s="7"/>
      <c r="G25" s="7"/>
      <c r="H25" s="7"/>
      <c r="I25" s="7"/>
      <c r="J25" s="7"/>
      <c r="K25" s="7"/>
      <c r="L25" s="7"/>
      <c r="M25" s="7"/>
      <c r="N25" s="7"/>
      <c r="O25" s="7"/>
      <c r="P25" s="7"/>
      <c r="Q25" s="7"/>
      <c r="R25" s="7"/>
      <c r="S25" s="7"/>
      <c r="T25" s="7"/>
      <c r="U25" s="7"/>
      <c r="V25" s="7"/>
      <c r="W25" s="7"/>
      <c r="X25" s="7"/>
      <c r="Y25" s="7"/>
      <c r="Z25" s="7"/>
      <c r="AA25" s="7"/>
      <c r="AB25" s="7"/>
      <c r="AC25" s="7"/>
      <c r="AD25" s="7"/>
      <c r="AE25" s="7"/>
      <c r="AF25" s="7"/>
    </row>
    <row r="26" spans="1:32" x14ac:dyDescent="0.35">
      <c r="A26" s="7"/>
      <c r="B26" s="7"/>
      <c r="C26" s="7"/>
      <c r="D26" s="7"/>
      <c r="E26" s="7"/>
      <c r="F26" s="7"/>
      <c r="G26" s="7"/>
      <c r="H26" s="7"/>
      <c r="I26" s="7"/>
      <c r="J26" s="7"/>
      <c r="K26" s="7"/>
      <c r="L26" s="7"/>
      <c r="M26" s="7"/>
      <c r="N26" s="7"/>
      <c r="O26" s="7"/>
      <c r="P26" s="7"/>
      <c r="Q26" s="7"/>
      <c r="R26" s="7"/>
      <c r="S26" s="7"/>
      <c r="T26" s="7"/>
      <c r="U26" s="7"/>
      <c r="V26" s="7"/>
      <c r="W26" s="7"/>
      <c r="X26" s="7"/>
      <c r="Y26" s="7"/>
      <c r="Z26" s="7"/>
      <c r="AA26" s="7"/>
      <c r="AB26" s="7"/>
      <c r="AC26" s="7"/>
      <c r="AD26" s="7"/>
      <c r="AE26" s="7"/>
      <c r="AF26" s="7"/>
    </row>
    <row r="27" spans="1:32" x14ac:dyDescent="0.35">
      <c r="A27" s="7"/>
      <c r="B27" s="7"/>
      <c r="C27" s="7"/>
      <c r="D27" s="7"/>
      <c r="E27" s="7"/>
      <c r="F27" s="7"/>
      <c r="G27" s="7"/>
      <c r="H27" s="7"/>
      <c r="I27" s="7"/>
      <c r="J27" s="7"/>
      <c r="K27" s="7"/>
      <c r="L27" s="7"/>
      <c r="M27" s="7"/>
      <c r="N27" s="7"/>
      <c r="O27" s="7"/>
      <c r="P27" s="7"/>
      <c r="Q27" s="7"/>
      <c r="R27" s="7"/>
      <c r="S27" s="7"/>
      <c r="T27" s="7"/>
      <c r="U27" s="7"/>
      <c r="V27" s="7"/>
      <c r="W27" s="7"/>
      <c r="X27" s="7"/>
      <c r="Y27" s="7"/>
      <c r="Z27" s="7"/>
      <c r="AA27" s="7"/>
      <c r="AB27" s="7"/>
      <c r="AC27" s="7"/>
      <c r="AD27" s="7"/>
      <c r="AE27" s="7"/>
      <c r="AF27" s="7"/>
    </row>
    <row r="28" spans="1:32" x14ac:dyDescent="0.35">
      <c r="A28" s="7"/>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row>
    <row r="29" spans="1:32" x14ac:dyDescent="0.35">
      <c r="A29" s="7"/>
      <c r="B29" s="7"/>
      <c r="C29" s="7"/>
      <c r="D29" s="7"/>
      <c r="E29" s="7"/>
      <c r="F29" s="7"/>
      <c r="G29" s="7"/>
      <c r="H29" s="7"/>
      <c r="I29" s="7"/>
      <c r="J29" s="7"/>
      <c r="K29" s="7"/>
      <c r="L29" s="7"/>
      <c r="M29" s="7"/>
      <c r="N29" s="7"/>
      <c r="O29" s="7"/>
      <c r="P29" s="7"/>
      <c r="Q29" s="7"/>
      <c r="R29" s="7"/>
      <c r="S29" s="7"/>
      <c r="T29" s="7"/>
      <c r="U29" s="7"/>
      <c r="V29" s="7"/>
      <c r="W29" s="7"/>
      <c r="X29" s="7"/>
      <c r="Y29" s="7"/>
      <c r="Z29" s="7"/>
      <c r="AA29" s="7"/>
      <c r="AB29" s="7"/>
      <c r="AC29" s="7"/>
      <c r="AD29" s="7"/>
      <c r="AE29" s="7"/>
      <c r="AF29" s="7"/>
    </row>
    <row r="30" spans="1:32" x14ac:dyDescent="0.35">
      <c r="A30" s="7"/>
      <c r="B30" s="7"/>
      <c r="C30" s="7"/>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row>
    <row r="31" spans="1:32" x14ac:dyDescent="0.35">
      <c r="A31" s="7"/>
      <c r="B31" s="7"/>
      <c r="C31" s="7"/>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row>
    <row r="32" spans="1:32" x14ac:dyDescent="0.35">
      <c r="A32" s="7"/>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row>
    <row r="33" spans="1:32" x14ac:dyDescent="0.35">
      <c r="A33" s="7"/>
      <c r="B33" s="7"/>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row>
    <row r="34" spans="1:32" x14ac:dyDescent="0.35">
      <c r="A34" s="7"/>
      <c r="B34" s="7"/>
      <c r="C34" s="7"/>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row>
    <row r="35" spans="1:32" x14ac:dyDescent="0.35">
      <c r="A35" s="7"/>
      <c r="B35" s="7"/>
      <c r="C35" s="7"/>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row>
    <row r="36" spans="1:32" x14ac:dyDescent="0.35">
      <c r="A36" s="7"/>
      <c r="B36" s="7"/>
      <c r="C36" s="7"/>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row>
    <row r="37" spans="1:32" x14ac:dyDescent="0.35">
      <c r="A37" s="7"/>
      <c r="B37" s="7"/>
      <c r="C37" s="7"/>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row>
    <row r="38" spans="1:32" x14ac:dyDescent="0.35">
      <c r="A38" s="7"/>
      <c r="B38" s="7"/>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row>
    <row r="39" spans="1:32" x14ac:dyDescent="0.35">
      <c r="A39" s="7"/>
      <c r="B39" s="7"/>
      <c r="C39" s="7"/>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row>
  </sheetData>
  <mergeCells count="1">
    <mergeCell ref="A1:AF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5E8B2-2DB2-4693-A64E-5F095B88845C}">
  <dimension ref="A3:C4"/>
  <sheetViews>
    <sheetView workbookViewId="0">
      <selection activeCell="A3" sqref="A3:C8"/>
    </sheetView>
  </sheetViews>
  <sheetFormatPr defaultRowHeight="14.5" x14ac:dyDescent="0.35"/>
  <cols>
    <col min="1" max="1" width="12.453125" bestFit="1" customWidth="1"/>
    <col min="2" max="2" width="13.6328125" bestFit="1" customWidth="1"/>
    <col min="3" max="3" width="15.1796875" bestFit="1" customWidth="1"/>
  </cols>
  <sheetData>
    <row r="3" spans="1:3" x14ac:dyDescent="0.35">
      <c r="A3" s="5" t="s">
        <v>59</v>
      </c>
      <c r="B3" t="s">
        <v>56</v>
      </c>
      <c r="C3" t="s">
        <v>57</v>
      </c>
    </row>
    <row r="4" spans="1:3" x14ac:dyDescent="0.35">
      <c r="A4" s="6" t="s">
        <v>60</v>
      </c>
      <c r="B4" s="4">
        <v>1070</v>
      </c>
      <c r="C4" s="4">
        <v>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071126-7124-4762-A2AD-B4F516A0BE73}">
  <dimension ref="A3:B5"/>
  <sheetViews>
    <sheetView zoomScale="68" zoomScaleNormal="68" workbookViewId="0">
      <selection activeCell="H27" sqref="H27"/>
    </sheetView>
  </sheetViews>
  <sheetFormatPr defaultRowHeight="14.5" x14ac:dyDescent="0.35"/>
  <cols>
    <col min="1" max="1" width="13.7265625" bestFit="1" customWidth="1"/>
    <col min="2" max="2" width="13.81640625" bestFit="1" customWidth="1"/>
  </cols>
  <sheetData>
    <row r="3" spans="1:2" x14ac:dyDescent="0.35">
      <c r="A3" s="5" t="s">
        <v>59</v>
      </c>
      <c r="B3" t="s">
        <v>56</v>
      </c>
    </row>
    <row r="4" spans="1:2" x14ac:dyDescent="0.35">
      <c r="A4" s="6" t="s">
        <v>53</v>
      </c>
      <c r="B4" s="4">
        <v>1221</v>
      </c>
    </row>
    <row r="5" spans="1:2" x14ac:dyDescent="0.35">
      <c r="A5" s="6" t="s">
        <v>54</v>
      </c>
      <c r="B5" s="4">
        <v>1070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478FB-7D44-43EF-A3A3-85BF180FEFB7}">
  <dimension ref="A3:B4"/>
  <sheetViews>
    <sheetView workbookViewId="0">
      <selection activeCell="K15" sqref="K15"/>
    </sheetView>
  </sheetViews>
  <sheetFormatPr defaultRowHeight="14.5" x14ac:dyDescent="0.35"/>
  <cols>
    <col min="1" max="1" width="12.453125" bestFit="1" customWidth="1"/>
    <col min="2" max="2" width="15.1796875" bestFit="1" customWidth="1"/>
  </cols>
  <sheetData>
    <row r="3" spans="1:2" x14ac:dyDescent="0.35">
      <c r="A3" s="5" t="s">
        <v>59</v>
      </c>
      <c r="B3" t="s">
        <v>57</v>
      </c>
    </row>
    <row r="4" spans="1:2" x14ac:dyDescent="0.35">
      <c r="A4" s="6" t="s">
        <v>18</v>
      </c>
      <c r="B4" s="4">
        <v>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EE4C6-C0A5-4E10-B7C1-6AC654C1ADD5}">
  <dimension ref="A3:B6"/>
  <sheetViews>
    <sheetView workbookViewId="0">
      <selection activeCell="L22" sqref="L22"/>
    </sheetView>
  </sheetViews>
  <sheetFormatPr defaultRowHeight="14.5" x14ac:dyDescent="0.35"/>
  <cols>
    <col min="1" max="1" width="13.36328125" bestFit="1" customWidth="1"/>
    <col min="2" max="2" width="13.6328125" bestFit="1" customWidth="1"/>
  </cols>
  <sheetData>
    <row r="3" spans="1:2" x14ac:dyDescent="0.35">
      <c r="A3" s="5" t="s">
        <v>59</v>
      </c>
      <c r="B3" t="s">
        <v>56</v>
      </c>
    </row>
    <row r="4" spans="1:2" x14ac:dyDescent="0.35">
      <c r="A4" s="6" t="s">
        <v>31</v>
      </c>
      <c r="B4" s="4">
        <v>589</v>
      </c>
    </row>
    <row r="5" spans="1:2" x14ac:dyDescent="0.35">
      <c r="A5" s="6" t="s">
        <v>46</v>
      </c>
      <c r="B5" s="4">
        <v>1070</v>
      </c>
    </row>
    <row r="6" spans="1:2" x14ac:dyDescent="0.35">
      <c r="A6" s="6" t="s">
        <v>24</v>
      </c>
      <c r="B6" s="4">
        <v>632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F0AA4-DFDD-48B3-8113-D68929F0A9EF}">
  <dimension ref="A3:C6"/>
  <sheetViews>
    <sheetView workbookViewId="0">
      <selection activeCell="H3" sqref="H3"/>
    </sheetView>
  </sheetViews>
  <sheetFormatPr defaultRowHeight="14.5" x14ac:dyDescent="0.35"/>
  <cols>
    <col min="1" max="1" width="15.1796875" bestFit="1" customWidth="1"/>
    <col min="2" max="2" width="15.6328125" bestFit="1" customWidth="1"/>
    <col min="3" max="3" width="4.81640625" bestFit="1" customWidth="1"/>
    <col min="4" max="4" width="10.36328125" bestFit="1" customWidth="1"/>
  </cols>
  <sheetData>
    <row r="3" spans="1:3" x14ac:dyDescent="0.35">
      <c r="A3" s="5" t="s">
        <v>57</v>
      </c>
      <c r="B3" s="5" t="s">
        <v>66</v>
      </c>
    </row>
    <row r="4" spans="1:3" x14ac:dyDescent="0.35">
      <c r="A4" s="5" t="s">
        <v>59</v>
      </c>
      <c r="B4" t="s">
        <v>53</v>
      </c>
      <c r="C4" t="s">
        <v>54</v>
      </c>
    </row>
    <row r="5" spans="1:3" x14ac:dyDescent="0.35">
      <c r="A5" s="6" t="s">
        <v>67</v>
      </c>
      <c r="B5" s="4">
        <v>1</v>
      </c>
      <c r="C5" s="4">
        <v>1</v>
      </c>
    </row>
    <row r="6" spans="1:3" x14ac:dyDescent="0.35">
      <c r="A6" s="6" t="s">
        <v>65</v>
      </c>
      <c r="B6" s="4">
        <v>1</v>
      </c>
      <c r="C6" s="4"/>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42E5B1-9879-474D-8DD6-2F66B21AABE3}">
  <dimension ref="A3:B5"/>
  <sheetViews>
    <sheetView workbookViewId="0">
      <selection activeCell="K16" sqref="K16"/>
    </sheetView>
  </sheetViews>
  <sheetFormatPr defaultRowHeight="14.5" x14ac:dyDescent="0.35"/>
  <cols>
    <col min="1" max="1" width="12.453125" bestFit="1" customWidth="1"/>
    <col min="2" max="2" width="15.1796875" bestFit="1" customWidth="1"/>
  </cols>
  <sheetData>
    <row r="3" spans="1:2" x14ac:dyDescent="0.35">
      <c r="A3" s="5" t="s">
        <v>59</v>
      </c>
      <c r="B3" t="s">
        <v>57</v>
      </c>
    </row>
    <row r="4" spans="1:2" x14ac:dyDescent="0.35">
      <c r="A4" s="6" t="s">
        <v>43</v>
      </c>
      <c r="B4" s="10">
        <v>0.33333333333333331</v>
      </c>
    </row>
    <row r="5" spans="1:2" x14ac:dyDescent="0.35">
      <c r="A5" s="6" t="s">
        <v>19</v>
      </c>
      <c r="B5" s="10">
        <v>0.66666666666666663</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B402DE-338C-4633-930A-D3229E8098E8}">
  <dimension ref="A1:S10"/>
  <sheetViews>
    <sheetView workbookViewId="0">
      <selection activeCell="I9" sqref="I9"/>
    </sheetView>
  </sheetViews>
  <sheetFormatPr defaultRowHeight="14.5" x14ac:dyDescent="0.35"/>
  <cols>
    <col min="1" max="1" width="5.90625" customWidth="1"/>
    <col min="2" max="2" width="22.26953125" customWidth="1"/>
    <col min="7" max="7" width="10.08984375" bestFit="1" customWidth="1"/>
    <col min="8" max="8" width="10.08984375" customWidth="1"/>
    <col min="15" max="15" width="7.36328125" customWidth="1"/>
    <col min="16" max="16" width="16.81640625" customWidth="1"/>
    <col min="17" max="17" width="16.90625" customWidth="1"/>
  </cols>
  <sheetData>
    <row r="1" spans="1:19" ht="36" customHeight="1" thickBot="1" x14ac:dyDescent="0.4">
      <c r="A1" s="1" t="s">
        <v>0</v>
      </c>
      <c r="B1" s="1" t="s">
        <v>1</v>
      </c>
      <c r="C1" s="1" t="s">
        <v>2</v>
      </c>
      <c r="D1" s="1" t="s">
        <v>3</v>
      </c>
      <c r="E1" s="1" t="s">
        <v>4</v>
      </c>
      <c r="F1" s="1" t="s">
        <v>55</v>
      </c>
      <c r="G1" s="1" t="s">
        <v>5</v>
      </c>
      <c r="H1" s="1" t="s">
        <v>58</v>
      </c>
      <c r="I1" s="1" t="s">
        <v>6</v>
      </c>
      <c r="J1" s="1" t="s">
        <v>7</v>
      </c>
      <c r="K1" s="1" t="s">
        <v>8</v>
      </c>
      <c r="L1" s="1" t="s">
        <v>9</v>
      </c>
      <c r="M1" s="1" t="s">
        <v>10</v>
      </c>
      <c r="N1" s="1" t="s">
        <v>11</v>
      </c>
      <c r="O1" s="1" t="s">
        <v>12</v>
      </c>
      <c r="P1" s="1" t="s">
        <v>13</v>
      </c>
      <c r="Q1" s="1" t="s">
        <v>14</v>
      </c>
      <c r="R1" s="1" t="s">
        <v>15</v>
      </c>
      <c r="S1" s="1" t="s">
        <v>16</v>
      </c>
    </row>
    <row r="2" spans="1:19" ht="19.5" customHeight="1" thickBot="1" x14ac:dyDescent="0.4">
      <c r="A2" s="2">
        <v>1</v>
      </c>
      <c r="B2" s="1" t="s">
        <v>17</v>
      </c>
      <c r="C2" s="2">
        <v>1029312</v>
      </c>
      <c r="D2" s="1" t="s">
        <v>53</v>
      </c>
      <c r="E2" s="2">
        <f ca="1">RANDBETWEEN(18,55)</f>
        <v>36</v>
      </c>
      <c r="F2" s="2" t="str">
        <f ca="1">IF(E2&gt;=50,"Senior",IF(E2&gt;=30,"Adult",IF(E2&gt;=17,"Teenager")))</f>
        <v>Adult</v>
      </c>
      <c r="G2" s="3">
        <f>DATE(2025,5,7)</f>
        <v>45784</v>
      </c>
      <c r="H2" s="3" t="str">
        <f>TEXT(G2,"mmm")</f>
        <v>May</v>
      </c>
      <c r="I2" s="1" t="s">
        <v>18</v>
      </c>
      <c r="J2" s="1" t="s">
        <v>19</v>
      </c>
      <c r="K2" s="1" t="s">
        <v>20</v>
      </c>
      <c r="L2" s="1" t="s">
        <v>21</v>
      </c>
      <c r="M2" s="2">
        <f ca="1">RANDBETWEEN(1,3)</f>
        <v>1</v>
      </c>
      <c r="N2" s="1" t="s">
        <v>22</v>
      </c>
      <c r="O2" s="2">
        <f ca="1">RANDBETWEEN(500,3000)</f>
        <v>1534</v>
      </c>
      <c r="P2" s="1" t="s">
        <v>23</v>
      </c>
      <c r="Q2" s="1" t="s">
        <v>24</v>
      </c>
      <c r="R2" s="2">
        <v>140301</v>
      </c>
      <c r="S2" s="1" t="s">
        <v>25</v>
      </c>
    </row>
    <row r="3" spans="1:19" ht="18.5" customHeight="1" thickBot="1" x14ac:dyDescent="0.4">
      <c r="A3" s="2">
        <v>2</v>
      </c>
      <c r="B3" s="1" t="s">
        <v>26</v>
      </c>
      <c r="C3" s="2">
        <v>2183842</v>
      </c>
      <c r="D3" s="1" t="s">
        <v>53</v>
      </c>
      <c r="E3" s="2">
        <f t="shared" ref="E3:E10" ca="1" si="0">RANDBETWEEN(18,55)</f>
        <v>49</v>
      </c>
      <c r="F3" s="2" t="str">
        <f t="shared" ref="F3:F10" ca="1" si="1">IF(E3&gt;=50,"Senior",IF(E3&gt;=30,"Adult",IF(E3&gt;=17,"Teenager")))</f>
        <v>Adult</v>
      </c>
      <c r="G3" s="3">
        <f>DATE(2025,4,21)</f>
        <v>45768</v>
      </c>
      <c r="H3" s="3" t="str">
        <f t="shared" ref="H3:H10" si="2">TEXT(G3,"mmm")</f>
        <v>Apr</v>
      </c>
      <c r="I3" s="1" t="s">
        <v>62</v>
      </c>
      <c r="J3" s="1" t="s">
        <v>27</v>
      </c>
      <c r="K3" s="1" t="s">
        <v>28</v>
      </c>
      <c r="L3" s="1" t="s">
        <v>29</v>
      </c>
      <c r="M3" s="2">
        <f t="shared" ref="M3:M10" ca="1" si="3">RANDBETWEEN(1,3)</f>
        <v>1</v>
      </c>
      <c r="N3" s="1" t="s">
        <v>22</v>
      </c>
      <c r="O3" s="2">
        <f t="shared" ref="O3:O10" ca="1" si="4">RANDBETWEEN(500,3000)</f>
        <v>918</v>
      </c>
      <c r="P3" s="1" t="s">
        <v>30</v>
      </c>
      <c r="Q3" s="1" t="s">
        <v>31</v>
      </c>
      <c r="R3" s="2">
        <v>122002</v>
      </c>
      <c r="S3" s="1" t="s">
        <v>25</v>
      </c>
    </row>
    <row r="4" spans="1:19" ht="18" customHeight="1" thickBot="1" x14ac:dyDescent="0.4">
      <c r="A4" s="2">
        <v>3</v>
      </c>
      <c r="B4" s="1" t="s">
        <v>32</v>
      </c>
      <c r="C4" s="2">
        <v>1641533</v>
      </c>
      <c r="D4" s="1" t="s">
        <v>54</v>
      </c>
      <c r="E4" s="2">
        <f t="shared" ca="1" si="0"/>
        <v>39</v>
      </c>
      <c r="F4" s="2" t="str">
        <f t="shared" ca="1" si="1"/>
        <v>Adult</v>
      </c>
      <c r="G4" s="3">
        <f>DATE(2025,6,6)</f>
        <v>45814</v>
      </c>
      <c r="H4" s="3" t="str">
        <f t="shared" si="2"/>
        <v>Jun</v>
      </c>
      <c r="I4" s="1" t="s">
        <v>63</v>
      </c>
      <c r="J4" s="1" t="s">
        <v>19</v>
      </c>
      <c r="K4" s="1" t="s">
        <v>28</v>
      </c>
      <c r="L4" s="1" t="s">
        <v>33</v>
      </c>
      <c r="M4" s="2">
        <f t="shared" ca="1" si="3"/>
        <v>2</v>
      </c>
      <c r="N4" s="1" t="s">
        <v>22</v>
      </c>
      <c r="O4" s="2">
        <f t="shared" ca="1" si="4"/>
        <v>907</v>
      </c>
      <c r="P4" s="1" t="s">
        <v>34</v>
      </c>
      <c r="Q4" s="1" t="s">
        <v>35</v>
      </c>
      <c r="R4" s="2">
        <v>700029</v>
      </c>
      <c r="S4" s="1" t="s">
        <v>25</v>
      </c>
    </row>
    <row r="5" spans="1:19" ht="19" customHeight="1" thickBot="1" x14ac:dyDescent="0.4">
      <c r="A5" s="2">
        <v>4</v>
      </c>
      <c r="B5" s="1" t="s">
        <v>36</v>
      </c>
      <c r="C5" s="2">
        <v>7490807</v>
      </c>
      <c r="D5" s="1" t="s">
        <v>54</v>
      </c>
      <c r="E5" s="2">
        <f t="shared" ca="1" si="0"/>
        <v>20</v>
      </c>
      <c r="F5" s="2" t="str">
        <f t="shared" ca="1" si="1"/>
        <v>Teenager</v>
      </c>
      <c r="G5" s="3">
        <f>DATE(2025,6,6)</f>
        <v>45814</v>
      </c>
      <c r="H5" s="3" t="str">
        <f t="shared" si="2"/>
        <v>Jun</v>
      </c>
      <c r="I5" s="1" t="s">
        <v>63</v>
      </c>
      <c r="J5" s="1" t="s">
        <v>37</v>
      </c>
      <c r="K5" s="1" t="s">
        <v>28</v>
      </c>
      <c r="L5" s="1" t="s">
        <v>38</v>
      </c>
      <c r="M5" s="2">
        <f t="shared" ca="1" si="3"/>
        <v>1</v>
      </c>
      <c r="N5" s="1" t="s">
        <v>22</v>
      </c>
      <c r="O5" s="2">
        <f t="shared" ca="1" si="4"/>
        <v>1033</v>
      </c>
      <c r="P5" s="1" t="s">
        <v>39</v>
      </c>
      <c r="Q5" s="1" t="s">
        <v>40</v>
      </c>
      <c r="R5" s="2">
        <v>613007</v>
      </c>
      <c r="S5" s="1" t="s">
        <v>25</v>
      </c>
    </row>
    <row r="6" spans="1:19" ht="18" customHeight="1" thickBot="1" x14ac:dyDescent="0.4">
      <c r="A6" s="2">
        <v>5</v>
      </c>
      <c r="B6" s="1" t="s">
        <v>41</v>
      </c>
      <c r="C6" s="2">
        <v>9293516</v>
      </c>
      <c r="D6" s="1" t="s">
        <v>53</v>
      </c>
      <c r="E6" s="2">
        <f t="shared" ca="1" si="0"/>
        <v>48</v>
      </c>
      <c r="F6" s="2" t="str">
        <f t="shared" ca="1" si="1"/>
        <v>Adult</v>
      </c>
      <c r="G6" s="3">
        <f>DATE(2025,5,30)</f>
        <v>45807</v>
      </c>
      <c r="H6" s="3" t="str">
        <f t="shared" si="2"/>
        <v>May</v>
      </c>
      <c r="I6" s="1" t="s">
        <v>18</v>
      </c>
      <c r="J6" s="1" t="s">
        <v>19</v>
      </c>
      <c r="K6" s="1" t="s">
        <v>20</v>
      </c>
      <c r="L6" s="1" t="s">
        <v>21</v>
      </c>
      <c r="M6" s="2">
        <f t="shared" ca="1" si="3"/>
        <v>3</v>
      </c>
      <c r="N6" s="1" t="s">
        <v>22</v>
      </c>
      <c r="O6" s="2">
        <f t="shared" ca="1" si="4"/>
        <v>1051</v>
      </c>
      <c r="P6" s="1" t="s">
        <v>30</v>
      </c>
      <c r="Q6" s="1" t="s">
        <v>31</v>
      </c>
      <c r="R6" s="2">
        <v>122001</v>
      </c>
      <c r="S6" s="1" t="s">
        <v>25</v>
      </c>
    </row>
    <row r="7" spans="1:19" ht="15" customHeight="1" thickBot="1" x14ac:dyDescent="0.4">
      <c r="A7" s="2">
        <v>6</v>
      </c>
      <c r="B7" s="1" t="s">
        <v>42</v>
      </c>
      <c r="C7" s="2">
        <v>1298130</v>
      </c>
      <c r="D7" s="1" t="s">
        <v>54</v>
      </c>
      <c r="E7" s="2">
        <f t="shared" ca="1" si="0"/>
        <v>29</v>
      </c>
      <c r="F7" s="2" t="str">
        <f t="shared" ca="1" si="1"/>
        <v>Teenager</v>
      </c>
      <c r="G7" s="3">
        <f t="shared" ref="G3:G10" si="5">DATE(2025,5,7)</f>
        <v>45784</v>
      </c>
      <c r="H7" s="3" t="str">
        <f t="shared" si="2"/>
        <v>May</v>
      </c>
      <c r="I7" s="1" t="s">
        <v>18</v>
      </c>
      <c r="J7" s="1" t="s">
        <v>43</v>
      </c>
      <c r="K7" s="1" t="s">
        <v>44</v>
      </c>
      <c r="L7" s="1" t="s">
        <v>21</v>
      </c>
      <c r="M7" s="2">
        <f t="shared" ca="1" si="3"/>
        <v>1</v>
      </c>
      <c r="N7" s="1" t="s">
        <v>22</v>
      </c>
      <c r="O7" s="2">
        <f t="shared" ca="1" si="4"/>
        <v>955</v>
      </c>
      <c r="P7" s="1" t="s">
        <v>45</v>
      </c>
      <c r="Q7" s="1" t="s">
        <v>46</v>
      </c>
      <c r="R7" s="2">
        <v>416436</v>
      </c>
      <c r="S7" s="1" t="s">
        <v>25</v>
      </c>
    </row>
    <row r="8" spans="1:19" ht="34" customHeight="1" thickBot="1" x14ac:dyDescent="0.4">
      <c r="A8" s="2">
        <v>7</v>
      </c>
      <c r="B8" s="1" t="s">
        <v>42</v>
      </c>
      <c r="C8" s="2">
        <v>1298130</v>
      </c>
      <c r="D8" s="1" t="s">
        <v>53</v>
      </c>
      <c r="E8" s="2">
        <f t="shared" ca="1" si="0"/>
        <v>22</v>
      </c>
      <c r="F8" s="2" t="str">
        <f t="shared" ca="1" si="1"/>
        <v>Teenager</v>
      </c>
      <c r="G8" s="3">
        <f>DATE(2025,7,28)</f>
        <v>45866</v>
      </c>
      <c r="H8" s="3" t="str">
        <f t="shared" si="2"/>
        <v>Jul</v>
      </c>
      <c r="I8" s="1" t="s">
        <v>62</v>
      </c>
      <c r="J8" s="1" t="s">
        <v>47</v>
      </c>
      <c r="K8" s="1" t="s">
        <v>20</v>
      </c>
      <c r="L8" s="1" t="s">
        <v>21</v>
      </c>
      <c r="M8" s="2">
        <f t="shared" ca="1" si="3"/>
        <v>2</v>
      </c>
      <c r="N8" s="1" t="s">
        <v>22</v>
      </c>
      <c r="O8" s="2">
        <f t="shared" ca="1" si="4"/>
        <v>1707</v>
      </c>
      <c r="P8" s="1" t="s">
        <v>48</v>
      </c>
      <c r="Q8" s="1" t="s">
        <v>49</v>
      </c>
      <c r="R8" s="2">
        <v>560029</v>
      </c>
      <c r="S8" s="1" t="s">
        <v>25</v>
      </c>
    </row>
    <row r="9" spans="1:19" ht="21" customHeight="1" thickBot="1" x14ac:dyDescent="0.4">
      <c r="A9" s="2">
        <v>8</v>
      </c>
      <c r="B9" s="1" t="s">
        <v>50</v>
      </c>
      <c r="C9" s="2">
        <v>5561216</v>
      </c>
      <c r="D9" s="1" t="s">
        <v>54</v>
      </c>
      <c r="E9" s="2">
        <f t="shared" ca="1" si="0"/>
        <v>33</v>
      </c>
      <c r="F9" s="2" t="str">
        <f t="shared" ca="1" si="1"/>
        <v>Adult</v>
      </c>
      <c r="G9" s="3">
        <f>DATE(2025,7,19)</f>
        <v>45857</v>
      </c>
      <c r="H9" s="3" t="str">
        <f t="shared" si="2"/>
        <v>Jul</v>
      </c>
      <c r="I9" s="1" t="s">
        <v>64</v>
      </c>
      <c r="J9" s="1" t="s">
        <v>43</v>
      </c>
      <c r="K9" s="1" t="s">
        <v>20</v>
      </c>
      <c r="L9" s="1" t="s">
        <v>38</v>
      </c>
      <c r="M9" s="2">
        <f t="shared" ca="1" si="3"/>
        <v>1</v>
      </c>
      <c r="N9" s="1" t="s">
        <v>22</v>
      </c>
      <c r="O9" s="2">
        <f t="shared" ca="1" si="4"/>
        <v>1368</v>
      </c>
      <c r="P9" s="1" t="s">
        <v>30</v>
      </c>
      <c r="Q9" s="1" t="s">
        <v>31</v>
      </c>
      <c r="R9" s="2">
        <v>122001</v>
      </c>
      <c r="S9" s="1" t="s">
        <v>25</v>
      </c>
    </row>
    <row r="10" spans="1:19" ht="20.5" customHeight="1" thickBot="1" x14ac:dyDescent="0.4">
      <c r="A10" s="2">
        <v>9</v>
      </c>
      <c r="B10" s="1" t="s">
        <v>51</v>
      </c>
      <c r="C10" s="2">
        <v>2935263</v>
      </c>
      <c r="D10" s="1" t="s">
        <v>54</v>
      </c>
      <c r="E10" s="2">
        <f t="shared" ca="1" si="0"/>
        <v>51</v>
      </c>
      <c r="F10" s="2" t="str">
        <f t="shared" ca="1" si="1"/>
        <v>Senior</v>
      </c>
      <c r="G10" s="3">
        <f>DATE(2025,8,24)</f>
        <v>45893</v>
      </c>
      <c r="H10" s="3" t="str">
        <f t="shared" si="2"/>
        <v>Aug</v>
      </c>
      <c r="I10" s="1" t="s">
        <v>18</v>
      </c>
      <c r="J10" s="1" t="s">
        <v>37</v>
      </c>
      <c r="K10" s="1" t="s">
        <v>20</v>
      </c>
      <c r="L10" s="1" t="s">
        <v>52</v>
      </c>
      <c r="M10" s="2">
        <f t="shared" ca="1" si="3"/>
        <v>1</v>
      </c>
      <c r="N10" s="1" t="s">
        <v>22</v>
      </c>
      <c r="O10" s="2">
        <f t="shared" ca="1" si="4"/>
        <v>1790</v>
      </c>
      <c r="P10" s="1" t="s">
        <v>48</v>
      </c>
      <c r="Q10" s="1" t="s">
        <v>49</v>
      </c>
      <c r="R10" s="2">
        <v>562149</v>
      </c>
      <c r="S10" s="1" t="s">
        <v>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Report</vt:lpstr>
      <vt:lpstr>sales vs orders</vt:lpstr>
      <vt:lpstr>men vs women</vt:lpstr>
      <vt:lpstr>status</vt:lpstr>
      <vt:lpstr>state</vt:lpstr>
      <vt:lpstr>age</vt:lpstr>
      <vt:lpstr>Sheet10</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Brindha Loganathan</dc:creator>
  <cp:lastModifiedBy>Brindha Loganathan</cp:lastModifiedBy>
  <dcterms:created xsi:type="dcterms:W3CDTF">2026-03-20T09:35:29Z</dcterms:created>
  <dcterms:modified xsi:type="dcterms:W3CDTF">2026-03-20T11:16:47Z</dcterms:modified>
</cp:coreProperties>
</file>